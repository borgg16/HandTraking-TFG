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tograma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<sst xmlns="http://schemas.openxmlformats.org/spreadsheetml/2006/main" count="46" uniqueCount="29">
  <si>
    <t xml:space="preserve">Validacion glass-to-glass manual - ETH_IPERF3_Carga740</t>
  </si>
  <si>
    <t xml:space="preserve">Grupo: ETHERNET_IPERF3    |    Video origen: v6    |    Muestras leidas: 18</t>
  </si>
  <si>
    <t xml:space="preserve">No fotograma</t>
  </si>
  <si>
    <t xml:space="preserve">P leido (ms, mod 100000)</t>
  </si>
  <si>
    <t xml:space="preserve">U leido (ms, mod 100000)</t>
  </si>
  <si>
    <t xml:space="preserve">Diferencia bruta U-P (ms)</t>
  </si>
  <si>
    <t xml:space="preserve">t sesion CSV emparejado (s)</t>
  </si>
  <si>
    <t xml:space="preserve">Latencia software en ese instante (ms)</t>
  </si>
  <si>
    <t xml:space="preserve">Residual emparejamiento (ms)</t>
  </si>
  <si>
    <t xml:space="preserve">Offset reconstruido (ms)</t>
  </si>
  <si>
    <t xml:space="preserve">Latencia manual (ms)</t>
  </si>
  <si>
    <t xml:space="preserve">Atipica?</t>
  </si>
  <si>
    <t xml:space="preserve">Incluida en estadistica (ms)</t>
  </si>
  <si>
    <t xml:space="preserve">No</t>
  </si>
  <si>
    <t xml:space="preserve">Resumen estadistico - ETH_IPERF3_Carga740</t>
  </si>
  <si>
    <t xml:space="preserve">Metodo</t>
  </si>
  <si>
    <t xml:space="preserve">Manual (fotogramas)</t>
  </si>
  <si>
    <t xml:space="preserve">Software (sesion CSV completa)</t>
  </si>
  <si>
    <t xml:space="preserve">Diferencia (Manual - Software)</t>
  </si>
  <si>
    <t xml:space="preserve">N muestras validas</t>
  </si>
  <si>
    <t xml:space="preserve">Media (ms)</t>
  </si>
  <si>
    <t xml:space="preserve">Mediana (ms)</t>
  </si>
  <si>
    <t xml:space="preserve">Desv. tipica muestral (ms)</t>
  </si>
  <si>
    <t xml:space="preserve">P95 (ms)</t>
  </si>
  <si>
    <t xml:space="preserve">P99 (ms)</t>
  </si>
  <si>
    <t xml:space="preserve">Minimo (ms)</t>
  </si>
  <si>
    <t xml:space="preserve">Maximo (ms)</t>
  </si>
  <si>
    <t xml:space="preserve">Muestras excluidas por atipicas (posible error de lectura de digito, &gt;4xMAD respecto a la mediana): ninguna.</t>
  </si>
  <si>
    <t xml:space="preserve">Nota metodologica: 'Latencia software' es la latencia interna medida por VideoLatencyMedidor.cs (captura del robot -&gt; recepcion en Unity). 'Latencia manual' anade ademas el salto fisico Unity -&gt; refresco de la pantalla -&gt; camara passthrough del Quest 2 -&gt; lectura del fotograma, por lo que un sesgo positivo sistematico de entre +25 y +45 ms frente al software es el resultado esperado, no un error de metodo.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</si>
</sst>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n">
        <v>16518</v>
      </c>
      <c r="C5" s="5" t="n">
        <v>13833</v>
      </c>
      <c r="D5" s="6" t="n">
        <f aca="false">MOD(C5-B5+50000,100000)-50000</f>
        <v>-2685</v>
      </c>
      <c r="E5" s="5" t="n">
        <v>42.35</v>
      </c>
      <c r="F5" s="5" t="n">
        <v>-1.5</v>
      </c>
      <c r="G5" s="4" t="n">
        <v>34</v>
      </c>
      <c r="H5" s="5" t="n">
        <v>-2720.5</v>
      </c>
      <c r="I5" s="6" t="n">
        <f aca="false">D5-H5</f>
        <v>35.5</v>
      </c>
      <c r="J5" s="4" t="s">
        <v>13</v>
      </c>
      <c r="K5" s="6" t="n">
        <f aca="false">IF(J5="Si","",I5)</f>
        <v>35.5</v>
      </c>
    </row>
    <row r="6" customFormat="false" ht="15" hidden="false" customHeight="false" outlineLevel="0" collapsed="false">
      <c r="A6" s="4" t="n">
        <v>2</v>
      </c>
      <c r="B6" s="5" t="n">
        <v>32308</v>
      </c>
      <c r="C6" s="5" t="n">
        <v>29620</v>
      </c>
      <c r="D6" s="6" t="n">
        <f aca="false">MOD(C6-B6+50000,100000)-50000</f>
        <v>-2688</v>
      </c>
      <c r="E6" s="5" t="n">
        <v>58.15</v>
      </c>
      <c r="F6" s="5" t="n">
        <v>6.5</v>
      </c>
      <c r="G6" s="4" t="n">
        <v>34</v>
      </c>
      <c r="H6" s="5" t="n">
        <v>-2720.5</v>
      </c>
      <c r="I6" s="6" t="n">
        <f aca="false">D6-H6</f>
        <v>32.5</v>
      </c>
      <c r="J6" s="4" t="s">
        <v>13</v>
      </c>
      <c r="K6" s="6" t="n">
        <f aca="false">IF(J6="Si","",I6)</f>
        <v>32.5</v>
      </c>
    </row>
    <row r="7" customFormat="false" ht="15" hidden="false" customHeight="false" outlineLevel="0" collapsed="false">
      <c r="A7" s="4" t="n">
        <v>3</v>
      </c>
      <c r="B7" s="5" t="n">
        <v>48133</v>
      </c>
      <c r="C7" s="5" t="n">
        <v>45447</v>
      </c>
      <c r="D7" s="6" t="n">
        <f aca="false">MOD(C7-B7+50000,100000)-50000</f>
        <v>-2686</v>
      </c>
      <c r="E7" s="5" t="n">
        <v>73.97</v>
      </c>
      <c r="F7" s="5" t="n">
        <v>-0.5</v>
      </c>
      <c r="G7" s="4" t="n">
        <v>34</v>
      </c>
      <c r="H7" s="5" t="n">
        <v>-2721.5</v>
      </c>
      <c r="I7" s="6" t="n">
        <f aca="false">D7-H7</f>
        <v>35.5</v>
      </c>
      <c r="J7" s="4" t="s">
        <v>13</v>
      </c>
      <c r="K7" s="6" t="n">
        <f aca="false">IF(J7="Si","",I7)</f>
        <v>35.5</v>
      </c>
    </row>
    <row r="8" customFormat="false" ht="15" hidden="false" customHeight="false" outlineLevel="0" collapsed="false">
      <c r="A8" s="4" t="n">
        <v>4</v>
      </c>
      <c r="B8" s="5" t="n">
        <v>63923</v>
      </c>
      <c r="C8" s="5" t="n">
        <v>61232</v>
      </c>
      <c r="D8" s="6" t="n">
        <f aca="false">MOD(C8-B8+50000,100000)-50000</f>
        <v>-2691</v>
      </c>
      <c r="E8" s="5" t="n">
        <v>89.77</v>
      </c>
      <c r="F8" s="5" t="n">
        <v>8.5</v>
      </c>
      <c r="G8" s="4" t="n">
        <v>33</v>
      </c>
      <c r="H8" s="5" t="n">
        <v>-2722.5</v>
      </c>
      <c r="I8" s="6" t="n">
        <f aca="false">D8-H8</f>
        <v>31.5</v>
      </c>
      <c r="J8" s="4" t="s">
        <v>13</v>
      </c>
      <c r="K8" s="6" t="n">
        <f aca="false">IF(J8="Si","",I8)</f>
        <v>31.5</v>
      </c>
    </row>
    <row r="9" customFormat="false" ht="15" hidden="false" customHeight="false" outlineLevel="0" collapsed="false">
      <c r="A9" s="4" t="n">
        <v>5</v>
      </c>
      <c r="B9" s="5" t="n">
        <v>79715</v>
      </c>
      <c r="C9" s="5" t="n">
        <v>77034</v>
      </c>
      <c r="D9" s="6" t="n">
        <f aca="false">MOD(C9-B9+50000,100000)-50000</f>
        <v>-2681</v>
      </c>
      <c r="E9" s="5" t="n">
        <v>105.56</v>
      </c>
      <c r="F9" s="5" t="n">
        <v>8.2</v>
      </c>
      <c r="G9" s="4" t="n">
        <v>35</v>
      </c>
      <c r="H9" s="5" t="n">
        <v>-2723.2</v>
      </c>
      <c r="I9" s="6" t="n">
        <f aca="false">D9-H9</f>
        <v>42.1999999999998</v>
      </c>
      <c r="J9" s="4" t="s">
        <v>13</v>
      </c>
      <c r="K9" s="6" t="n">
        <f aca="false">IF(J9="Si","",I9)</f>
        <v>42.1999999999998</v>
      </c>
    </row>
    <row r="10" customFormat="false" ht="15" hidden="false" customHeight="false" outlineLevel="0" collapsed="false">
      <c r="A10" s="4" t="n">
        <v>6</v>
      </c>
      <c r="B10" s="5" t="n">
        <v>95471</v>
      </c>
      <c r="C10" s="5" t="n">
        <v>92780</v>
      </c>
      <c r="D10" s="6" t="n">
        <f aca="false">MOD(C10-B10+50000,100000)-50000</f>
        <v>-2691</v>
      </c>
      <c r="E10" s="5" t="n">
        <v>121.31</v>
      </c>
      <c r="F10" s="5" t="n">
        <v>9.1</v>
      </c>
      <c r="G10" s="4" t="n">
        <v>33</v>
      </c>
      <c r="H10" s="5" t="n">
        <v>-2723.1</v>
      </c>
      <c r="I10" s="6" t="n">
        <f aca="false">D10-H10</f>
        <v>32.0999999999999</v>
      </c>
      <c r="J10" s="4" t="s">
        <v>13</v>
      </c>
      <c r="K10" s="6" t="n">
        <f aca="false">IF(J10="Si","",I10)</f>
        <v>32.0999999999999</v>
      </c>
    </row>
    <row r="11" customFormat="false" ht="15" hidden="false" customHeight="false" outlineLevel="0" collapsed="false">
      <c r="A11" s="4" t="n">
        <v>7</v>
      </c>
      <c r="B11" s="5" t="n">
        <v>11297</v>
      </c>
      <c r="C11" s="5" t="n">
        <v>8609</v>
      </c>
      <c r="D11" s="6" t="n">
        <f aca="false">MOD(C11-B11+50000,100000)-50000</f>
        <v>-2688</v>
      </c>
      <c r="E11" s="5" t="n">
        <v>137.13</v>
      </c>
      <c r="F11" s="5" t="n">
        <v>-0.9</v>
      </c>
      <c r="G11" s="4" t="n">
        <v>34</v>
      </c>
      <c r="H11" s="5" t="n">
        <v>-2723.1</v>
      </c>
      <c r="I11" s="6" t="n">
        <f aca="false">D11-H11</f>
        <v>35.0999999999999</v>
      </c>
      <c r="J11" s="4" t="s">
        <v>13</v>
      </c>
      <c r="K11" s="6" t="n">
        <f aca="false">IF(J11="Si","",I11)</f>
        <v>35.0999999999999</v>
      </c>
    </row>
    <row r="12" customFormat="false" ht="15" hidden="false" customHeight="false" outlineLevel="0" collapsed="false">
      <c r="A12" s="4" t="n">
        <v>8</v>
      </c>
      <c r="B12" s="5" t="n">
        <v>27086</v>
      </c>
      <c r="C12" s="5" t="n">
        <v>24397</v>
      </c>
      <c r="D12" s="6" t="n">
        <f aca="false">MOD(C12-B12+50000,100000)-50000</f>
        <v>-2689</v>
      </c>
      <c r="E12" s="5" t="n">
        <v>152.93</v>
      </c>
      <c r="F12" s="5" t="n">
        <v>10.6</v>
      </c>
      <c r="G12" s="4" t="n">
        <v>32</v>
      </c>
      <c r="H12" s="5" t="n">
        <v>-2723.6</v>
      </c>
      <c r="I12" s="6" t="n">
        <f aca="false">D12-H12</f>
        <v>34.5999999999999</v>
      </c>
      <c r="J12" s="4" t="s">
        <v>13</v>
      </c>
      <c r="K12" s="6" t="n">
        <f aca="false">IF(J12="Si","",I12)</f>
        <v>34.5999999999999</v>
      </c>
    </row>
    <row r="13" customFormat="false" ht="15" hidden="false" customHeight="false" outlineLevel="0" collapsed="false">
      <c r="A13" s="4" t="n">
        <v>9</v>
      </c>
      <c r="B13" s="5" t="n">
        <v>42879</v>
      </c>
      <c r="C13" s="5" t="n">
        <v>40198</v>
      </c>
      <c r="D13" s="6" t="n">
        <f aca="false">MOD(C13-B13+50000,100000)-50000</f>
        <v>-2681</v>
      </c>
      <c r="E13" s="5" t="n">
        <v>168.72</v>
      </c>
      <c r="F13" s="5" t="n">
        <v>7.3</v>
      </c>
      <c r="G13" s="4" t="n">
        <v>34</v>
      </c>
      <c r="H13" s="5" t="n">
        <v>-2724.3</v>
      </c>
      <c r="I13" s="6" t="n">
        <f aca="false">D13-H13</f>
        <v>43.3000000000002</v>
      </c>
      <c r="J13" s="4" t="s">
        <v>13</v>
      </c>
      <c r="K13" s="6" t="n">
        <f aca="false">IF(J13="Si","",I13)</f>
        <v>43.3000000000002</v>
      </c>
    </row>
    <row r="14" customFormat="false" ht="15" hidden="false" customHeight="false" outlineLevel="0" collapsed="false">
      <c r="A14" s="4" t="n">
        <v>10</v>
      </c>
      <c r="B14" s="5" t="n">
        <v>58669</v>
      </c>
      <c r="C14" s="5" t="n">
        <v>55985</v>
      </c>
      <c r="D14" s="6" t="n">
        <f aca="false">MOD(C14-B14+50000,100000)-50000</f>
        <v>-2684</v>
      </c>
      <c r="E14" s="5" t="n">
        <v>184.51</v>
      </c>
      <c r="F14" s="5" t="n">
        <v>5.6</v>
      </c>
      <c r="G14" s="4" t="n">
        <v>34</v>
      </c>
      <c r="H14" s="5" t="n">
        <v>-2724.6</v>
      </c>
      <c r="I14" s="6" t="n">
        <f aca="false">D14-H14</f>
        <v>40.5999999999999</v>
      </c>
      <c r="J14" s="4" t="s">
        <v>13</v>
      </c>
      <c r="K14" s="6" t="n">
        <f aca="false">IF(J14="Si","",I14)</f>
        <v>40.5999999999999</v>
      </c>
    </row>
    <row r="15" customFormat="false" ht="15" hidden="false" customHeight="false" outlineLevel="0" collapsed="false">
      <c r="A15" s="4" t="n">
        <v>11</v>
      </c>
      <c r="B15" s="5" t="n">
        <v>74460</v>
      </c>
      <c r="C15" s="5" t="n">
        <v>71771</v>
      </c>
      <c r="D15" s="6" t="n">
        <f aca="false">MOD(C15-B15+50000,100000)-50000</f>
        <v>-2689</v>
      </c>
      <c r="E15" s="5" t="n">
        <v>200.29</v>
      </c>
      <c r="F15" s="5" t="n">
        <v>1.2</v>
      </c>
      <c r="G15" s="4" t="n">
        <v>34</v>
      </c>
      <c r="H15" s="5" t="n">
        <v>-2725.2</v>
      </c>
      <c r="I15" s="6" t="n">
        <f aca="false">D15-H15</f>
        <v>36.1999999999998</v>
      </c>
      <c r="J15" s="4" t="s">
        <v>13</v>
      </c>
      <c r="K15" s="6" t="n">
        <f aca="false">IF(J15="Si","",I15)</f>
        <v>36.1999999999998</v>
      </c>
    </row>
    <row r="16" customFormat="false" ht="15" hidden="false" customHeight="false" outlineLevel="0" collapsed="false">
      <c r="A16" s="4" t="n">
        <v>12</v>
      </c>
      <c r="B16" s="5" t="n">
        <v>90251</v>
      </c>
      <c r="C16" s="5" t="n">
        <v>87560</v>
      </c>
      <c r="D16" s="6" t="n">
        <f aca="false">MOD(C16-B16+50000,100000)-50000</f>
        <v>-2691</v>
      </c>
      <c r="E16" s="5" t="n">
        <v>216.08</v>
      </c>
      <c r="F16" s="5" t="n">
        <v>-2</v>
      </c>
      <c r="G16" s="4" t="n">
        <v>34</v>
      </c>
      <c r="H16" s="5" t="n">
        <v>-2726</v>
      </c>
      <c r="I16" s="6" t="n">
        <f aca="false">D16-H16</f>
        <v>35</v>
      </c>
      <c r="J16" s="4" t="s">
        <v>13</v>
      </c>
      <c r="K16" s="6" t="n">
        <f aca="false">IF(J16="Si","",I16)</f>
        <v>35</v>
      </c>
    </row>
    <row r="17" customFormat="false" ht="15" hidden="false" customHeight="false" outlineLevel="0" collapsed="false">
      <c r="A17" s="4" t="n">
        <v>13</v>
      </c>
      <c r="B17" s="5" t="n">
        <v>6042</v>
      </c>
      <c r="C17" s="5" t="n">
        <v>3348</v>
      </c>
      <c r="D17" s="6" t="n">
        <f aca="false">MOD(C17-B17+50000,100000)-50000</f>
        <v>-2694</v>
      </c>
      <c r="E17" s="5" t="n">
        <v>231.88</v>
      </c>
      <c r="F17" s="5" t="n">
        <v>8.9</v>
      </c>
      <c r="G17" s="4" t="n">
        <v>34</v>
      </c>
      <c r="H17" s="5" t="n">
        <v>-2725.9</v>
      </c>
      <c r="I17" s="6" t="n">
        <f aca="false">D17-H17</f>
        <v>31.9000000000001</v>
      </c>
      <c r="J17" s="4" t="s">
        <v>13</v>
      </c>
      <c r="K17" s="6" t="n">
        <f aca="false">IF(J17="Si","",I17)</f>
        <v>31.9000000000001</v>
      </c>
    </row>
    <row r="18" customFormat="false" ht="15" hidden="false" customHeight="false" outlineLevel="0" collapsed="false">
      <c r="A18" s="4" t="n">
        <v>14</v>
      </c>
      <c r="B18" s="5" t="n">
        <v>21833</v>
      </c>
      <c r="C18" s="5" t="n">
        <v>19150</v>
      </c>
      <c r="D18" s="6" t="n">
        <f aca="false">MOD(C18-B18+50000,100000)-50000</f>
        <v>-2683</v>
      </c>
      <c r="E18" s="5" t="n">
        <v>247.67</v>
      </c>
      <c r="F18" s="5" t="n">
        <v>3.9</v>
      </c>
      <c r="G18" s="4" t="n">
        <v>33</v>
      </c>
      <c r="H18" s="5" t="n">
        <v>-2725.9</v>
      </c>
      <c r="I18" s="6" t="n">
        <f aca="false">D18-H18</f>
        <v>42.9000000000001</v>
      </c>
      <c r="J18" s="4" t="s">
        <v>13</v>
      </c>
      <c r="K18" s="6" t="n">
        <f aca="false">IF(J18="Si","",I18)</f>
        <v>42.9000000000001</v>
      </c>
    </row>
    <row r="19" customFormat="false" ht="15" hidden="false" customHeight="false" outlineLevel="0" collapsed="false">
      <c r="A19" s="4" t="n">
        <v>15</v>
      </c>
      <c r="B19" s="5" t="n">
        <v>37657</v>
      </c>
      <c r="C19" s="5" t="n">
        <v>34963</v>
      </c>
      <c r="D19" s="6" t="n">
        <f aca="false">MOD(C19-B19+50000,100000)-50000</f>
        <v>-2694</v>
      </c>
      <c r="E19" s="5" t="n">
        <v>263.5</v>
      </c>
      <c r="F19" s="5" t="n">
        <v>10.2</v>
      </c>
      <c r="G19" s="4" t="n">
        <v>33</v>
      </c>
      <c r="H19" s="5" t="n">
        <v>-2726.2</v>
      </c>
      <c r="I19" s="6" t="n">
        <f aca="false">D19-H19</f>
        <v>32.1999999999998</v>
      </c>
      <c r="J19" s="4" t="s">
        <v>13</v>
      </c>
      <c r="K19" s="6" t="n">
        <f aca="false">IF(J19="Si","",I19)</f>
        <v>32.1999999999998</v>
      </c>
    </row>
    <row r="20" customFormat="false" ht="15" hidden="false" customHeight="false" outlineLevel="0" collapsed="false">
      <c r="A20" s="4" t="n">
        <v>16</v>
      </c>
      <c r="B20" s="5" t="n">
        <v>53449</v>
      </c>
      <c r="C20" s="5" t="n">
        <v>50765</v>
      </c>
      <c r="D20" s="6" t="n">
        <f aca="false">MOD(C20-B20+50000,100000)-50000</f>
        <v>-2684</v>
      </c>
      <c r="E20" s="5" t="n">
        <v>279.29</v>
      </c>
      <c r="F20" s="5" t="n">
        <v>8.5</v>
      </c>
      <c r="G20" s="4" t="n">
        <v>35</v>
      </c>
      <c r="H20" s="5" t="n">
        <v>-2727.5</v>
      </c>
      <c r="I20" s="6" t="n">
        <f aca="false">D20-H20</f>
        <v>43.5</v>
      </c>
      <c r="J20" s="4" t="s">
        <v>13</v>
      </c>
      <c r="K20" s="6" t="n">
        <f aca="false">IF(J20="Si","",I20)</f>
        <v>43.5</v>
      </c>
    </row>
    <row r="21" customFormat="false" ht="15" hidden="false" customHeight="false" outlineLevel="0" collapsed="false">
      <c r="A21" s="4" t="n">
        <v>17</v>
      </c>
      <c r="B21" s="5" t="n">
        <v>69239</v>
      </c>
      <c r="C21" s="5" t="n">
        <v>66551</v>
      </c>
      <c r="D21" s="6" t="n">
        <f aca="false">MOD(C21-B21+50000,100000)-50000</f>
        <v>-2688</v>
      </c>
      <c r="E21" s="5" t="n">
        <v>295.07</v>
      </c>
      <c r="F21" s="5" t="n">
        <v>5.2</v>
      </c>
      <c r="G21" s="4" t="n">
        <v>34</v>
      </c>
      <c r="H21" s="5" t="n">
        <v>-2728.2</v>
      </c>
      <c r="I21" s="6" t="n">
        <f aca="false">D21-H21</f>
        <v>40.1999999999998</v>
      </c>
      <c r="J21" s="4" t="s">
        <v>13</v>
      </c>
      <c r="K21" s="6" t="n">
        <f aca="false">IF(J21="Si","",I21)</f>
        <v>40.1999999999998</v>
      </c>
    </row>
    <row r="22" customFormat="false" ht="15" hidden="false" customHeight="false" outlineLevel="0" collapsed="false">
      <c r="A22" s="4" t="n">
        <v>18</v>
      </c>
      <c r="B22" s="5" t="n">
        <v>85066</v>
      </c>
      <c r="C22" s="5" t="n">
        <v>82338</v>
      </c>
      <c r="D22" s="6" t="n">
        <f aca="false">MOD(C22-B22+50000,100000)-50000</f>
        <v>-2728</v>
      </c>
      <c r="E22" s="5" t="n">
        <v>310.9</v>
      </c>
      <c r="F22" s="5" t="n">
        <v>2.9</v>
      </c>
      <c r="G22" s="4" t="n">
        <v>32</v>
      </c>
      <c r="H22" s="5" t="n">
        <v>-2726.9</v>
      </c>
      <c r="I22" s="6" t="n">
        <f aca="false">D22-H22</f>
        <v>-1.09999999999991</v>
      </c>
      <c r="J22" s="4" t="s">
        <v>13</v>
      </c>
      <c r="K22" s="6" t="n">
        <f aca="false">IF(J22="Si","",I22)</f>
        <v>-1.09999999999991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</row>
    <row r="4" customFormat="false" ht="15" hidden="false" customHeight="false" outlineLevel="0" collapsed="false">
      <c r="A4" s="7" t="s">
        <v>15</v>
      </c>
      <c r="B4" s="8" t="s">
        <v>16</v>
      </c>
      <c r="C4" s="8" t="s">
        <v>17</v>
      </c>
      <c r="D4" s="8" t="s">
        <v>18</v>
      </c>
    </row>
    <row r="5" customFormat="false" ht="15" hidden="false" customHeight="false" outlineLevel="0" collapsed="false">
      <c r="A5" s="7" t="s">
        <v>19</v>
      </c>
      <c r="B5" s="6" t="n">
        <f aca="false">COUNT(Fotogramas!K5:K22)</f>
        <v>18</v>
      </c>
      <c r="C5" s="5" t="n">
        <v>9052</v>
      </c>
      <c r="D5" s="6" t="n">
        <f aca="false">B5-C5</f>
        <v>-9034</v>
      </c>
    </row>
    <row r="6" customFormat="false" ht="15" hidden="false" customHeight="false" outlineLevel="0" collapsed="false">
      <c r="A6" s="7" t="s">
        <v>20</v>
      </c>
      <c r="B6" s="6" t="n">
        <f aca="false">AVERAGE(Fotogramas!K5:K22)</f>
        <v>34.65</v>
      </c>
      <c r="C6" s="5" t="n">
        <v>4.03</v>
      </c>
      <c r="D6" s="6" t="n">
        <f aca="false">B6-C6</f>
        <v>30.62</v>
      </c>
    </row>
    <row r="7" customFormat="false" ht="15" hidden="false" customHeight="false" outlineLevel="0" collapsed="false">
      <c r="A7" s="7" t="s">
        <v>21</v>
      </c>
      <c r="B7" s="6" t="n">
        <f aca="false">MEDIAN(Fotogramas!K5:K22)</f>
        <v>35.3</v>
      </c>
      <c r="C7" s="5" t="n">
        <v>3.8</v>
      </c>
      <c r="D7" s="6" t="n">
        <f aca="false">B7-C7</f>
        <v>31.5</v>
      </c>
    </row>
    <row r="8" customFormat="false" ht="15" hidden="false" customHeight="false" outlineLevel="0" collapsed="false">
      <c r="A8" s="7" t="s">
        <v>22</v>
      </c>
      <c r="B8" s="6" t="n">
        <f aca="false">STDEV(Fotogramas!K5:K22)</f>
        <v>9.88541706698483</v>
      </c>
      <c r="C8" s="5" t="n">
        <v>6.42</v>
      </c>
      <c r="D8" s="6" t="n">
        <f aca="false">B8-C8</f>
        <v>3.46541706698483</v>
      </c>
    </row>
    <row r="9" customFormat="false" ht="15" hidden="false" customHeight="false" outlineLevel="0" collapsed="false">
      <c r="A9" s="7" t="s">
        <v>23</v>
      </c>
      <c r="B9" s="6" t="n">
        <f aca="false">PERCENTILE(Fotogramas!K5:K22,0.95)</f>
        <v>43.3300000000002</v>
      </c>
      <c r="C9" s="5" t="n">
        <v>10.5</v>
      </c>
      <c r="D9" s="6" t="n">
        <f aca="false">B9-C9</f>
        <v>32.8300000000002</v>
      </c>
    </row>
    <row r="10" customFormat="false" ht="15" hidden="false" customHeight="false" outlineLevel="0" collapsed="false">
      <c r="A10" s="7" t="s">
        <v>24</v>
      </c>
      <c r="B10" s="6" t="n">
        <f aca="false">PERCENTILE(Fotogramas!K5:K22,0.99)</f>
        <v>43.466</v>
      </c>
      <c r="C10" s="5" t="n">
        <v>12.4</v>
      </c>
      <c r="D10" s="6" t="n">
        <f aca="false">B10-C10</f>
        <v>31.066</v>
      </c>
    </row>
    <row r="11" customFormat="false" ht="15" hidden="false" customHeight="false" outlineLevel="0" collapsed="false">
      <c r="A11" s="7" t="s">
        <v>25</v>
      </c>
      <c r="B11" s="6" t="n">
        <f aca="false">MIN(Fotogramas!K5:K22)</f>
        <v>-1.09999999999991</v>
      </c>
      <c r="C11" s="5" t="n">
        <v>-5.5</v>
      </c>
      <c r="D11" s="6" t="n">
        <f aca="false">B11-C11</f>
        <v>4.40000000000009</v>
      </c>
    </row>
    <row r="12" customFormat="false" ht="15" hidden="false" customHeight="false" outlineLevel="0" collapsed="false">
      <c r="A12" s="7" t="s">
        <v>26</v>
      </c>
      <c r="B12" s="6" t="n">
        <f aca="false">MAX(Fotogramas!K5:K22)</f>
        <v>43.5</v>
      </c>
      <c r="C12" s="5" t="n">
        <v>251.7</v>
      </c>
      <c r="D12" s="6" t="n">
        <f aca="false">B12-C12</f>
        <v>-208.2</v>
      </c>
    </row>
    <row r="14" customFormat="false" ht="27.75" hidden="false" customHeight="true" outlineLevel="0" collapsed="false">
      <c r="A14" s="9" t="s">
        <v>27</v>
      </c>
      <c r="B14" s="9"/>
      <c r="C14" s="9"/>
      <c r="D14" s="9"/>
    </row>
    <row r="15" customFormat="false" ht="42" hidden="false" customHeight="true" outlineLevel="0" collapsed="false">
      <c r="A15" s="9" t="s">
        <v>28</v>
      </c>
      <c r="B15" s="9"/>
      <c r="C15" s="9"/>
      <c r="D15" s="9"/>
    </row>
  </sheetData>
  <mergeCells count="3">
    <mergeCell ref="A1:D1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2026-08-14T19:03:08Z</dcterms:created>
  <dc:creator>openpyxl</dc:creator>
  <dc:description/>
  <dc:language>en-US</dc:language>
  <cp:lastModifiedBy/>
  <dcterms:modified xsi:type="dcterms:W3CDTF">2026-08-14T19:03:08Z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