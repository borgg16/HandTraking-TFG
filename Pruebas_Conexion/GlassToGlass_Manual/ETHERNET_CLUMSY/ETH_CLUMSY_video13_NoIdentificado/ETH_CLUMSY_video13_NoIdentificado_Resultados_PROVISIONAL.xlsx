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tograma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<sst xmlns="http://schemas.openxmlformats.org/spreadsheetml/2006/main" count="34" uniqueCount="17">
  <si>
    <t xml:space="preserve">Validacion glass-to-glass manual - ETH_CLUMSY_video13_NoIdentificado</t>
  </si>
  <si>
    <t xml:space="preserve">Grupo: ETHERNET_CLUMSY    |    Video origen: v13    |    Muestras leidas: 18</t>
  </si>
  <si>
    <t xml:space="preserve">AVISO: este video NO ha podido identificarse con certeza frente a ningun CSV de ETHERNET_CLUMSY disponible (SIN_CARGA / CARGA_MEDIA / CARGA_ALTA). Los valores de 'latencia software' y 'latencia manual' de esta hoja son orientativos y NO deben usarse como resultado valido en la memoria hasta confirmar la sesion correcta.</t>
  </si>
  <si>
    <t xml:space="preserve">No fotograma</t>
  </si>
  <si>
    <t xml:space="preserve">P leido (ms, mod 100000)</t>
  </si>
  <si>
    <t xml:space="preserve">U leido (ms, mod 100000)</t>
  </si>
  <si>
    <t xml:space="preserve">Diferencia bruta U-P (ms)</t>
  </si>
  <si>
    <t xml:space="preserve">t sesion CSV emparejado (s)</t>
  </si>
  <si>
    <t xml:space="preserve">Latencia software en ese instante (ms)</t>
  </si>
  <si>
    <t xml:space="preserve">Residual emparejamiento (ms)</t>
  </si>
  <si>
    <t xml:space="preserve">Offset reconstruido (ms)</t>
  </si>
  <si>
    <t xml:space="preserve">Latencia manual (ms)</t>
  </si>
  <si>
    <t xml:space="preserve">Atipica?</t>
  </si>
  <si>
    <t xml:space="preserve">Incluida en estadistica (ms)</t>
  </si>
  <si>
    <t xml:space="preserve">No</t>
  </si>
  <si>
    <t xml:space="preserve">Resumen estadistico - ETH_CLUMSY_video13_NoIdentificado</t>
  </si>
  <si>
    <t xml:space="preserve">Este video (v13) no se ha podido identificar con certeza frente a las tres sesiones ETHERNET_CLUMSY registradas (SIN_CARGA, CARGA_MEDIA, CARGA_ALTA). Al probar las tres, la diferencia entre la lectura manual y el latenciaMs emparejado del CSV resulta en las tres en un desfase de entre -480 y -570 ms, de signo negativo (latencia manual negativa, fisicamente imposible), muy distinto del +25/+40 ms de sesgo sistematico observado en los otros 8 videos validados. Esto indica que el video probablemente corresponde a una sesion de grabacion distinta a las 3 disponibles (posible desincronizacion de reloj entre el PC del robot y el PC de Unity en ese momento concreto, no reproducible con los CSV conservados). Se excluye de la comparativa cuantitativa de la memoria hasta que se pueda confirmar con certeza a que sesion pertenece.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</si>
</sst>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8CBAD"/>
        <bgColor rgb="FFBBBBBB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4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15" hidden="false" customHeight="false" outlineLevel="0" collapsed="false">
      <c r="A6" s="5" t="n">
        <v>1</v>
      </c>
      <c r="B6" s="6" t="n">
        <v>99566</v>
      </c>
      <c r="C6" s="6" t="n">
        <v>96211</v>
      </c>
      <c r="D6" s="7" t="n">
        <f aca="false">MOD(C6-B6+50000,100000)-50000</f>
        <v>-3355</v>
      </c>
      <c r="E6" s="6" t="n">
        <v>108.65</v>
      </c>
      <c r="F6" s="6" t="n">
        <v>12.8</v>
      </c>
      <c r="G6" s="5" t="n">
        <v>49</v>
      </c>
      <c r="H6" s="6" t="n">
        <v>-2789.8</v>
      </c>
      <c r="I6" s="7" t="n">
        <f aca="false">D6-H6</f>
        <v>-565.2</v>
      </c>
      <c r="J6" s="5" t="s">
        <v>14</v>
      </c>
      <c r="K6" s="7" t="n">
        <f aca="false">IF(J6="Si","",I6)</f>
        <v>-565.2</v>
      </c>
    </row>
    <row r="7" customFormat="false" ht="15" hidden="false" customHeight="false" outlineLevel="0" collapsed="false">
      <c r="A7" s="5" t="n">
        <v>2</v>
      </c>
      <c r="B7" s="6" t="n">
        <v>15592</v>
      </c>
      <c r="C7" s="6" t="n">
        <v>12262</v>
      </c>
      <c r="D7" s="7" t="n">
        <f aca="false">MOD(C7-B7+50000,100000)-50000</f>
        <v>-3330</v>
      </c>
      <c r="E7" s="6" t="n">
        <v>24.78</v>
      </c>
      <c r="F7" s="6" t="n">
        <v>40.4</v>
      </c>
      <c r="G7" s="5" t="n">
        <v>28</v>
      </c>
      <c r="H7" s="6" t="n">
        <v>-2792.4</v>
      </c>
      <c r="I7" s="7" t="n">
        <f aca="false">D7-H7</f>
        <v>-537.6</v>
      </c>
      <c r="J7" s="5" t="s">
        <v>14</v>
      </c>
      <c r="K7" s="7" t="n">
        <f aca="false">IF(J7="Si","",I7)</f>
        <v>-537.6</v>
      </c>
    </row>
    <row r="8" customFormat="false" ht="15" hidden="false" customHeight="false" outlineLevel="0" collapsed="false">
      <c r="A8" s="5" t="n">
        <v>3</v>
      </c>
      <c r="B8" s="6" t="n">
        <v>31651</v>
      </c>
      <c r="C8" s="6" t="n">
        <v>28287</v>
      </c>
      <c r="D8" s="7" t="n">
        <f aca="false">MOD(C8-B8+50000,100000)-50000</f>
        <v>-3364</v>
      </c>
      <c r="E8" s="6" t="n">
        <v>40.83</v>
      </c>
      <c r="F8" s="6" t="n">
        <v>37.3</v>
      </c>
      <c r="G8" s="5" t="n">
        <v>23</v>
      </c>
      <c r="H8" s="6" t="n">
        <v>-2791.3</v>
      </c>
      <c r="I8" s="7" t="n">
        <f aca="false">D8-H8</f>
        <v>-572.7</v>
      </c>
      <c r="J8" s="5" t="s">
        <v>14</v>
      </c>
      <c r="K8" s="7" t="n">
        <f aca="false">IF(J8="Si","",I8)</f>
        <v>-572.7</v>
      </c>
    </row>
    <row r="9" customFormat="false" ht="15" hidden="false" customHeight="false" outlineLevel="0" collapsed="false">
      <c r="A9" s="5" t="n">
        <v>4</v>
      </c>
      <c r="B9" s="6" t="n">
        <v>47677</v>
      </c>
      <c r="C9" s="6" t="n">
        <v>44311</v>
      </c>
      <c r="D9" s="7" t="n">
        <f aca="false">MOD(C9-B9+50000,100000)-50000</f>
        <v>-3366</v>
      </c>
      <c r="E9" s="6" t="n">
        <v>56.87</v>
      </c>
      <c r="F9" s="6" t="n">
        <v>40.9</v>
      </c>
      <c r="G9" s="5" t="n">
        <v>32</v>
      </c>
      <c r="H9" s="6" t="n">
        <v>-2790.9</v>
      </c>
      <c r="I9" s="7" t="n">
        <f aca="false">D9-H9</f>
        <v>-575.1</v>
      </c>
      <c r="J9" s="5" t="s">
        <v>14</v>
      </c>
      <c r="K9" s="7" t="n">
        <f aca="false">IF(J9="Si","",I9)</f>
        <v>-575.1</v>
      </c>
    </row>
    <row r="10" customFormat="false" ht="15" hidden="false" customHeight="false" outlineLevel="0" collapsed="false">
      <c r="A10" s="5" t="n">
        <v>5</v>
      </c>
      <c r="B10" s="6" t="n">
        <v>63702</v>
      </c>
      <c r="C10" s="6" t="n">
        <v>60348</v>
      </c>
      <c r="D10" s="7" t="n">
        <f aca="false">MOD(C10-B10+50000,100000)-50000</f>
        <v>-3354</v>
      </c>
      <c r="E10" s="6" t="n">
        <v>72.87</v>
      </c>
      <c r="F10" s="6" t="n">
        <v>11.3</v>
      </c>
      <c r="G10" s="5" t="n">
        <v>34</v>
      </c>
      <c r="H10" s="6" t="n">
        <v>-2790.3</v>
      </c>
      <c r="I10" s="7" t="n">
        <f aca="false">D10-H10</f>
        <v>-563.7</v>
      </c>
      <c r="J10" s="5" t="s">
        <v>14</v>
      </c>
      <c r="K10" s="7" t="n">
        <f aca="false">IF(J10="Si","",I10)</f>
        <v>-563.7</v>
      </c>
    </row>
    <row r="11" customFormat="false" ht="15" hidden="false" customHeight="false" outlineLevel="0" collapsed="false">
      <c r="A11" s="5" t="n">
        <v>6</v>
      </c>
      <c r="B11" s="6" t="n">
        <v>79761</v>
      </c>
      <c r="C11" s="6" t="n">
        <v>76400</v>
      </c>
      <c r="D11" s="7" t="n">
        <f aca="false">MOD(C11-B11+50000,100000)-50000</f>
        <v>-3361</v>
      </c>
      <c r="E11" s="6" t="n">
        <v>88.93</v>
      </c>
      <c r="F11" s="6" t="n">
        <v>27.9</v>
      </c>
      <c r="G11" s="5" t="n">
        <v>25</v>
      </c>
      <c r="H11" s="6" t="n">
        <v>-2789.9</v>
      </c>
      <c r="I11" s="7" t="n">
        <f aca="false">D11-H11</f>
        <v>-571.1</v>
      </c>
      <c r="J11" s="5" t="s">
        <v>14</v>
      </c>
      <c r="K11" s="7" t="n">
        <f aca="false">IF(J11="Si","",I11)</f>
        <v>-571.1</v>
      </c>
    </row>
    <row r="12" customFormat="false" ht="15" hidden="false" customHeight="false" outlineLevel="0" collapsed="false">
      <c r="A12" s="5" t="n">
        <v>7</v>
      </c>
      <c r="B12" s="6" t="n">
        <v>95751</v>
      </c>
      <c r="C12" s="6" t="n">
        <v>92397</v>
      </c>
      <c r="D12" s="7" t="n">
        <f aca="false">MOD(C12-B12+50000,100000)-50000</f>
        <v>-3354</v>
      </c>
      <c r="E12" s="6" t="n">
        <v>104.92</v>
      </c>
      <c r="F12" s="6" t="n">
        <v>10.7</v>
      </c>
      <c r="G12" s="5" t="n">
        <v>35</v>
      </c>
      <c r="H12" s="6" t="n">
        <v>-2789.7</v>
      </c>
      <c r="I12" s="7" t="n">
        <f aca="false">D12-H12</f>
        <v>-564.3</v>
      </c>
      <c r="J12" s="5" t="s">
        <v>14</v>
      </c>
      <c r="K12" s="7" t="n">
        <f aca="false">IF(J12="Si","",I12)</f>
        <v>-564.3</v>
      </c>
    </row>
    <row r="13" customFormat="false" ht="15" hidden="false" customHeight="false" outlineLevel="0" collapsed="false">
      <c r="A13" s="5" t="n">
        <v>8</v>
      </c>
      <c r="B13" s="6" t="n">
        <v>11777</v>
      </c>
      <c r="C13" s="6" t="n">
        <v>8420</v>
      </c>
      <c r="D13" s="7" t="n">
        <f aca="false">MOD(C13-B13+50000,100000)-50000</f>
        <v>-3357</v>
      </c>
      <c r="E13" s="6" t="n">
        <v>120.94</v>
      </c>
      <c r="F13" s="6" t="n">
        <v>8.1</v>
      </c>
      <c r="G13" s="5" t="n">
        <v>36</v>
      </c>
      <c r="H13" s="6" t="n">
        <v>-2789.1</v>
      </c>
      <c r="I13" s="7" t="n">
        <f aca="false">D13-H13</f>
        <v>-567.9</v>
      </c>
      <c r="J13" s="5" t="s">
        <v>14</v>
      </c>
      <c r="K13" s="7" t="n">
        <f aca="false">IF(J13="Si","",I13)</f>
        <v>-567.9</v>
      </c>
    </row>
    <row r="14" customFormat="false" ht="15" hidden="false" customHeight="false" outlineLevel="0" collapsed="false">
      <c r="A14" s="5" t="n">
        <v>9</v>
      </c>
      <c r="B14" s="6" t="n">
        <v>27803</v>
      </c>
      <c r="C14" s="6" t="n">
        <v>24445</v>
      </c>
      <c r="D14" s="7" t="n">
        <f aca="false">MOD(C14-B14+50000,100000)-50000</f>
        <v>-3358</v>
      </c>
      <c r="E14" s="6" t="n">
        <v>136.98</v>
      </c>
      <c r="F14" s="6" t="n">
        <v>19.7</v>
      </c>
      <c r="G14" s="5" t="n">
        <v>40</v>
      </c>
      <c r="H14" s="6" t="n">
        <v>-2791.7</v>
      </c>
      <c r="I14" s="7" t="n">
        <f aca="false">D14-H14</f>
        <v>-566.3</v>
      </c>
      <c r="J14" s="5" t="s">
        <v>14</v>
      </c>
      <c r="K14" s="7" t="n">
        <f aca="false">IF(J14="Si","",I14)</f>
        <v>-566.3</v>
      </c>
    </row>
    <row r="15" customFormat="false" ht="15" hidden="false" customHeight="false" outlineLevel="0" collapsed="false">
      <c r="A15" s="5" t="n">
        <v>10</v>
      </c>
      <c r="B15" s="6" t="n">
        <v>43828</v>
      </c>
      <c r="C15" s="6" t="n">
        <v>40488</v>
      </c>
      <c r="D15" s="7" t="n">
        <f aca="false">MOD(C15-B15+50000,100000)-50000</f>
        <v>-3340</v>
      </c>
      <c r="E15" s="6" t="n">
        <v>152.99</v>
      </c>
      <c r="F15" s="6" t="n">
        <v>19.8</v>
      </c>
      <c r="G15" s="5" t="n">
        <v>27</v>
      </c>
      <c r="H15" s="6" t="n">
        <v>-2791.8</v>
      </c>
      <c r="I15" s="7" t="n">
        <f aca="false">D15-H15</f>
        <v>-548.2</v>
      </c>
      <c r="J15" s="5" t="s">
        <v>14</v>
      </c>
      <c r="K15" s="7" t="n">
        <f aca="false">IF(J15="Si","",I15)</f>
        <v>-548.2</v>
      </c>
    </row>
    <row r="16" customFormat="false" ht="15" hidden="false" customHeight="false" outlineLevel="0" collapsed="false">
      <c r="A16" s="5" t="n">
        <v>11</v>
      </c>
      <c r="B16" s="6" t="n">
        <v>59852</v>
      </c>
      <c r="C16" s="6" t="n">
        <v>56493</v>
      </c>
      <c r="D16" s="7" t="n">
        <f aca="false">MOD(C16-B16+50000,100000)-50000</f>
        <v>-3359</v>
      </c>
      <c r="E16" s="6" t="n">
        <v>169.03</v>
      </c>
      <c r="F16" s="6" t="n">
        <v>19.9</v>
      </c>
      <c r="G16" s="5" t="n">
        <v>44</v>
      </c>
      <c r="H16" s="6" t="n">
        <v>-2793.9</v>
      </c>
      <c r="I16" s="7" t="n">
        <f aca="false">D16-H16</f>
        <v>-565.1</v>
      </c>
      <c r="J16" s="5" t="s">
        <v>14</v>
      </c>
      <c r="K16" s="7" t="n">
        <f aca="false">IF(J16="Si","",I16)</f>
        <v>-565.1</v>
      </c>
    </row>
    <row r="17" customFormat="false" ht="15" hidden="false" customHeight="false" outlineLevel="0" collapsed="false">
      <c r="A17" s="5" t="n">
        <v>12</v>
      </c>
      <c r="B17" s="6" t="n">
        <v>75878</v>
      </c>
      <c r="C17" s="6" t="n">
        <v>72558</v>
      </c>
      <c r="D17" s="7" t="n">
        <f aca="false">MOD(C17-B17+50000,100000)-50000</f>
        <v>-3320</v>
      </c>
      <c r="E17" s="6" t="n">
        <v>185.06</v>
      </c>
      <c r="F17" s="6" t="n">
        <v>21.7</v>
      </c>
      <c r="G17" s="5" t="n">
        <v>40</v>
      </c>
      <c r="H17" s="6" t="n">
        <v>-2792.7</v>
      </c>
      <c r="I17" s="7" t="n">
        <f aca="false">D17-H17</f>
        <v>-527.3</v>
      </c>
      <c r="J17" s="5" t="s">
        <v>14</v>
      </c>
      <c r="K17" s="7" t="n">
        <f aca="false">IF(J17="Si","",I17)</f>
        <v>-527.3</v>
      </c>
    </row>
    <row r="18" customFormat="false" ht="15" hidden="false" customHeight="false" outlineLevel="0" collapsed="false">
      <c r="A18" s="5" t="n">
        <v>13</v>
      </c>
      <c r="B18" s="6" t="n">
        <v>91902</v>
      </c>
      <c r="C18" s="6" t="n">
        <v>88595</v>
      </c>
      <c r="D18" s="7" t="n">
        <f aca="false">MOD(C18-B18+50000,100000)-50000</f>
        <v>-3307</v>
      </c>
      <c r="E18" s="6" t="n">
        <v>201.08</v>
      </c>
      <c r="F18" s="6" t="n">
        <v>28.4</v>
      </c>
      <c r="G18" s="5" t="n">
        <v>34</v>
      </c>
      <c r="H18" s="6" t="n">
        <v>-2792.4</v>
      </c>
      <c r="I18" s="7" t="n">
        <f aca="false">D18-H18</f>
        <v>-514.6</v>
      </c>
      <c r="J18" s="5" t="s">
        <v>14</v>
      </c>
      <c r="K18" s="7" t="n">
        <f aca="false">IF(J18="Si","",I18)</f>
        <v>-514.6</v>
      </c>
    </row>
    <row r="19" customFormat="false" ht="15" hidden="false" customHeight="false" outlineLevel="0" collapsed="false">
      <c r="A19" s="5" t="n">
        <v>14</v>
      </c>
      <c r="B19" s="6" t="n">
        <v>7963</v>
      </c>
      <c r="C19" s="6" t="n">
        <v>4607</v>
      </c>
      <c r="D19" s="7" t="n">
        <f aca="false">MOD(C19-B19+50000,100000)-50000</f>
        <v>-3356</v>
      </c>
      <c r="E19" s="6" t="n">
        <v>217.14</v>
      </c>
      <c r="F19" s="6" t="n">
        <v>16.7</v>
      </c>
      <c r="G19" s="5" t="n">
        <v>40</v>
      </c>
      <c r="H19" s="6" t="n">
        <v>-2793.7</v>
      </c>
      <c r="I19" s="7" t="n">
        <f aca="false">D19-H19</f>
        <v>-562.3</v>
      </c>
      <c r="J19" s="5" t="s">
        <v>14</v>
      </c>
      <c r="K19" s="7" t="n">
        <f aca="false">IF(J19="Si","",I19)</f>
        <v>-562.3</v>
      </c>
    </row>
    <row r="20" customFormat="false" ht="15" hidden="false" customHeight="false" outlineLevel="0" collapsed="false">
      <c r="A20" s="5" t="n">
        <v>15</v>
      </c>
      <c r="B20" s="6" t="n">
        <v>23986</v>
      </c>
      <c r="C20" s="6" t="n">
        <v>20657</v>
      </c>
      <c r="D20" s="7" t="n">
        <f aca="false">MOD(C20-B20+50000,100000)-50000</f>
        <v>-3329</v>
      </c>
      <c r="E20" s="6" t="n">
        <v>233.16</v>
      </c>
      <c r="F20" s="6" t="n">
        <v>18.2</v>
      </c>
      <c r="G20" s="5" t="n">
        <v>42</v>
      </c>
      <c r="H20" s="6" t="n">
        <v>-2795.2</v>
      </c>
      <c r="I20" s="7" t="n">
        <f aca="false">D20-H20</f>
        <v>-533.8</v>
      </c>
      <c r="J20" s="5" t="s">
        <v>14</v>
      </c>
      <c r="K20" s="7" t="n">
        <f aca="false">IF(J20="Si","",I20)</f>
        <v>-533.8</v>
      </c>
    </row>
    <row r="21" customFormat="false" ht="15" hidden="false" customHeight="false" outlineLevel="0" collapsed="false">
      <c r="A21" s="5" t="n">
        <v>16</v>
      </c>
      <c r="B21" s="6" t="n">
        <v>39978</v>
      </c>
      <c r="C21" s="6" t="n">
        <v>36653</v>
      </c>
      <c r="D21" s="7" t="n">
        <f aca="false">MOD(C21-B21+50000,100000)-50000</f>
        <v>-3325</v>
      </c>
      <c r="E21" s="6" t="n">
        <v>249.14</v>
      </c>
      <c r="F21" s="6" t="n">
        <v>6.4</v>
      </c>
      <c r="G21" s="5" t="n">
        <v>46</v>
      </c>
      <c r="H21" s="6" t="n">
        <v>-2796.4</v>
      </c>
      <c r="I21" s="7" t="n">
        <f aca="false">D21-H21</f>
        <v>-528.6</v>
      </c>
      <c r="J21" s="5" t="s">
        <v>14</v>
      </c>
      <c r="K21" s="7" t="n">
        <f aca="false">IF(J21="Si","",I21)</f>
        <v>-528.6</v>
      </c>
    </row>
    <row r="22" customFormat="false" ht="15" hidden="false" customHeight="false" outlineLevel="0" collapsed="false">
      <c r="A22" s="5" t="n">
        <v>17</v>
      </c>
      <c r="B22" s="6" t="n">
        <v>56036</v>
      </c>
      <c r="C22" s="6" t="n">
        <v>52678</v>
      </c>
      <c r="D22" s="7" t="n">
        <f aca="false">MOD(C22-B22+50000,100000)-50000</f>
        <v>-3358</v>
      </c>
      <c r="E22" s="6" t="n">
        <v>265.21</v>
      </c>
      <c r="F22" s="6" t="n">
        <v>14.8</v>
      </c>
      <c r="G22" s="5" t="n">
        <v>44</v>
      </c>
      <c r="H22" s="6" t="n">
        <v>-2795.8</v>
      </c>
      <c r="I22" s="7" t="n">
        <f aca="false">D22-H22</f>
        <v>-562.2</v>
      </c>
      <c r="J22" s="5" t="s">
        <v>14</v>
      </c>
      <c r="K22" s="7" t="n">
        <f aca="false">IF(J22="Si","",I22)</f>
        <v>-562.2</v>
      </c>
    </row>
    <row r="23" customFormat="false" ht="15" hidden="false" customHeight="false" outlineLevel="0" collapsed="false">
      <c r="A23" s="5" t="n">
        <v>18</v>
      </c>
      <c r="B23" s="6" t="n">
        <v>72063</v>
      </c>
      <c r="C23" s="6" t="n">
        <v>68703</v>
      </c>
      <c r="D23" s="7" t="n">
        <f aca="false">MOD(C23-B23+50000,100000)-50000</f>
        <v>-3360</v>
      </c>
      <c r="E23" s="6" t="n">
        <v>181.21</v>
      </c>
      <c r="F23" s="6" t="n">
        <v>8.9</v>
      </c>
      <c r="G23" s="5" t="n">
        <v>26</v>
      </c>
      <c r="H23" s="6" t="n">
        <v>-2792.9</v>
      </c>
      <c r="I23" s="7" t="n">
        <f aca="false">D23-H23</f>
        <v>-567.1</v>
      </c>
      <c r="J23" s="5" t="s">
        <v>14</v>
      </c>
      <c r="K23" s="7" t="n">
        <f aca="false">IF(J23="Si","",I23)</f>
        <v>-567.1</v>
      </c>
    </row>
  </sheetData>
  <mergeCells count="3">
    <mergeCell ref="A1:K1"/>
    <mergeCell ref="A2:K2"/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15</v>
      </c>
      <c r="B1" s="1"/>
      <c r="C1" s="1"/>
      <c r="D1" s="1"/>
    </row>
    <row r="3" customFormat="false" ht="139.5" hidden="false" customHeight="true" outlineLevel="0" collapsed="false">
      <c r="A3" s="8" t="s">
        <v>16</v>
      </c>
      <c r="B3" s="8"/>
      <c r="C3" s="8"/>
      <c r="D3" s="8"/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2026-08-14T19:03:08Z</dcterms:created>
  <dc:creator>openpyxl</dc:creator>
  <dc:description/>
  <dc:language>en-US</dc:language>
  <cp:lastModifiedBy/>
  <dcterms:modified xsi:type="dcterms:W3CDTF">2026-08-14T19:03:08Z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