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C1_Ethernet_Sin_Carga" sheetId="2" state="visible" r:id="rId2"/>
    <sheet xmlns:r="http://schemas.openxmlformats.org/officeDocument/2006/relationships" name="C2_Ethernet_Carga_Media" sheetId="3" state="visible" r:id="rId3"/>
    <sheet xmlns:r="http://schemas.openxmlformats.org/officeDocument/2006/relationships" name="C3_Ethernet_Carga_Alta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i val="1"/>
      <color rgb="FF555555"/>
      <sz val="9"/>
    </font>
    <font>
      <name val="Calibri"/>
      <b val="1"/>
      <sz val="11"/>
    </font>
    <font>
      <name val="Calibri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 wrapText="1"/>
    </xf>
    <xf numFmtId="0" fontId="0" fillId="0" borderId="0" applyAlignment="1" pivotButton="0" quotePrefix="0" xfId="0">
      <alignment horizontal="center"/>
    </xf>
    <xf numFmtId="0" fontId="4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1" fillId="0" borderId="0" pivotButton="0" quotePrefix="0" xfId="0"/>
    <xf numFmtId="0" fontId="0" fillId="0" borderId="0" pivotButton="0" quotePrefix="0" xfId="0"/>
    <xf numFmtId="0" fontId="2" fillId="0" borderId="0" pivotButton="0" quotePrefix="0" xfId="0"/>
    <xf numFmtId="49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tabSelected="1" workbookViewId="0">
      <selection activeCell="D4" sqref="D4"/>
    </sheetView>
  </sheetViews>
  <sheetFormatPr baseColWidth="10" defaultColWidth="8.88671875" defaultRowHeight="14.4"/>
  <cols>
    <col width="30" customWidth="1" style="8" min="1" max="1"/>
    <col width="18" customWidth="1" style="8" min="2" max="4"/>
  </cols>
  <sheetData>
    <row r="1" ht="18" customHeight="1" s="8">
      <c r="A1" s="7" t="inlineStr">
        <is>
          <t>M2 — Resumen comparativo entre condiciones de red</t>
        </is>
      </c>
    </row>
    <row r="3" ht="28.8" customHeight="1" s="8">
      <c r="A3" s="1" t="inlineStr">
        <is>
          <t>Métrica</t>
        </is>
      </c>
      <c r="B3" s="2" t="inlineStr">
        <is>
          <t>C1_Ethernet_Sin_Carga</t>
        </is>
      </c>
      <c r="C3" s="2" t="inlineStr">
        <is>
          <t>C2_Ethernet_Carga_Media</t>
        </is>
      </c>
      <c r="D3" s="2" t="inlineStr">
        <is>
          <t>C3_Ethernet_Carga_Alta</t>
        </is>
      </c>
    </row>
    <row r="4">
      <c r="A4" t="inlineStr">
        <is>
          <t>Tiempo de realización (mm:ss)</t>
        </is>
      </c>
      <c r="B4" s="3">
        <f>'C1_Ethernet_Sin_Carga'!B8</f>
        <v/>
      </c>
      <c r="C4" s="3">
        <f>'C2_Ethernet_Carga_Media'!B8</f>
        <v/>
      </c>
      <c r="D4" s="3">
        <f>'C3_Ethernet_Carga_Alta'!B8</f>
        <v/>
      </c>
    </row>
    <row r="5">
      <c r="A5" t="inlineStr">
        <is>
          <t>Media e_x (mm)</t>
        </is>
      </c>
      <c r="B5" s="3">
        <f>'C1_Ethernet_Sin_Carga'!B41</f>
        <v/>
      </c>
      <c r="C5" s="3">
        <f>'C2_Ethernet_Carga_Media'!B41</f>
        <v/>
      </c>
      <c r="D5" s="3">
        <f>'C3_Ethernet_Carga_Alta'!B41</f>
        <v/>
      </c>
    </row>
    <row r="6">
      <c r="A6" t="inlineStr">
        <is>
          <t>Desv. típica e_x (mm)</t>
        </is>
      </c>
      <c r="B6" s="3">
        <f>'C1_Ethernet_Sin_Carga'!B42</f>
        <v/>
      </c>
      <c r="C6" s="3">
        <f>'C2_Ethernet_Carga_Media'!B42</f>
        <v/>
      </c>
      <c r="D6" s="3">
        <f>'C3_Ethernet_Carga_Alta'!B42</f>
        <v/>
      </c>
    </row>
    <row r="7">
      <c r="A7" t="inlineStr">
        <is>
          <t>Media e_y (mm)</t>
        </is>
      </c>
      <c r="B7" s="3">
        <f>'C1_Ethernet_Sin_Carga'!B43</f>
        <v/>
      </c>
      <c r="C7" s="3">
        <f>'C2_Ethernet_Carga_Media'!B43</f>
        <v/>
      </c>
      <c r="D7" s="3">
        <f>'C3_Ethernet_Carga_Alta'!B43</f>
        <v/>
      </c>
    </row>
    <row r="8">
      <c r="A8" t="inlineStr">
        <is>
          <t>Desv. típica e_y (mm)</t>
        </is>
      </c>
      <c r="B8" s="3">
        <f>'C1_Ethernet_Sin_Carga'!B44</f>
        <v/>
      </c>
      <c r="C8" s="3">
        <f>'C2_Ethernet_Carga_Media'!B44</f>
        <v/>
      </c>
      <c r="D8" s="3">
        <f>'C3_Ethernet_Carga_Alta'!B44</f>
        <v/>
      </c>
    </row>
    <row r="9">
      <c r="A9" t="inlineStr">
        <is>
          <t>Media e_r (mm)</t>
        </is>
      </c>
      <c r="B9" s="3">
        <f>'C1_Ethernet_Sin_Carga'!B45</f>
        <v/>
      </c>
      <c r="C9" s="3">
        <f>'C2_Ethernet_Carga_Media'!B45</f>
        <v/>
      </c>
      <c r="D9" s="3">
        <f>'C3_Ethernet_Carga_Alta'!B45</f>
        <v/>
      </c>
    </row>
    <row r="10">
      <c r="A10" t="inlineStr">
        <is>
          <t>Desv. típica e_r (mm)</t>
        </is>
      </c>
      <c r="B10" s="3">
        <f>'C1_Ethernet_Sin_Carga'!B46</f>
        <v/>
      </c>
      <c r="C10" s="3">
        <f>'C2_Ethernet_Carga_Media'!B46</f>
        <v/>
      </c>
      <c r="D10" s="3">
        <f>'C3_Ethernet_Carga_Alta'!B46</f>
        <v/>
      </c>
    </row>
    <row r="11">
      <c r="A11" t="inlineStr">
        <is>
          <t>Máx. e_r (mm)</t>
        </is>
      </c>
      <c r="B11" s="3">
        <f>'C1_Ethernet_Sin_Carga'!B47</f>
        <v/>
      </c>
      <c r="C11" s="3">
        <f>'C2_Ethernet_Carga_Media'!B47</f>
        <v/>
      </c>
      <c r="D11" s="3">
        <f>'C3_Ethernet_Carga_Alta'!B47</f>
        <v/>
      </c>
    </row>
    <row r="12">
      <c r="A12" t="inlineStr">
        <is>
          <t>Media |e_x| (mm)</t>
        </is>
      </c>
      <c r="B12" s="3">
        <f>'C1_Ethernet_Sin_Carga'!B48</f>
        <v/>
      </c>
      <c r="C12" s="3">
        <f>'C2_Ethernet_Carga_Media'!B48</f>
        <v/>
      </c>
      <c r="D12" s="3">
        <f>'C3_Ethernet_Carga_Alta'!B48</f>
        <v/>
      </c>
    </row>
    <row r="13">
      <c r="A13" t="inlineStr">
        <is>
          <t>Media |e_y| (mm)</t>
        </is>
      </c>
      <c r="B13" s="3">
        <f>'C1_Ethernet_Sin_Carga'!B49</f>
        <v/>
      </c>
      <c r="C13" s="3">
        <f>'C2_Ethernet_Carga_Media'!B49</f>
        <v/>
      </c>
      <c r="D13" s="3">
        <f>'C3_Ethernet_Carga_Alta'!B49</f>
        <v/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9"/>
  <sheetViews>
    <sheetView topLeftCell="A27" workbookViewId="0">
      <selection activeCell="B8" sqref="B8:D8"/>
    </sheetView>
  </sheetViews>
  <sheetFormatPr baseColWidth="10" defaultColWidth="8.88671875" defaultRowHeight="14.4"/>
  <cols>
    <col width="34.33203125" customWidth="1" style="8" min="1" max="1"/>
    <col width="16" customWidth="1" style="8" min="2" max="2"/>
    <col width="20" customWidth="1" style="8" min="3" max="3"/>
    <col width="16" customWidth="1" style="8" min="4" max="5"/>
    <col width="40" customWidth="1" style="8" min="6" max="6"/>
  </cols>
  <sheetData>
    <row r="1" ht="18" customHeight="1" s="8">
      <c r="A1" s="7" t="inlineStr">
        <is>
          <t>Hoja de Registro — M2 Precisión de Posicionado</t>
        </is>
      </c>
    </row>
    <row r="2">
      <c r="A2" s="9" t="inlineStr">
        <is>
          <t>TFG - Teleoperación XR de RoArm M2 | Universidad de Málaga</t>
        </is>
      </c>
    </row>
    <row r="4">
      <c r="A4" s="1" t="inlineStr">
        <is>
          <t>Condición:</t>
        </is>
      </c>
      <c r="B4" t="inlineStr">
        <is>
          <t>C1 — Ethernet sin carga</t>
        </is>
      </c>
    </row>
    <row r="5">
      <c r="A5" s="1" t="inlineStr">
        <is>
          <t>Fecha:</t>
        </is>
      </c>
      <c r="B5" t="inlineStr">
        <is>
          <t>21/08/2026</t>
        </is>
      </c>
    </row>
    <row r="6">
      <c r="A6" s="1" t="inlineStr">
        <is>
          <t>Operador (Quest):</t>
        </is>
      </c>
      <c r="B6" t="inlineStr">
        <is>
          <t>Borja</t>
        </is>
      </c>
    </row>
    <row r="7">
      <c r="A7" s="1" t="inlineStr">
        <is>
          <t>Observador:</t>
        </is>
      </c>
    </row>
    <row r="8">
      <c r="A8" s="1" t="inlineStr">
        <is>
          <t>Tiempo de realización (mm:ss):</t>
        </is>
      </c>
      <c r="B8" s="10" t="inlineStr">
        <is>
          <t>25:33.05</t>
        </is>
      </c>
    </row>
    <row r="9">
      <c r="A9" s="1" t="inlineStr">
        <is>
          <t>Recalibraciones durante la sesión (nº):</t>
        </is>
      </c>
      <c r="B9" t="n">
        <v>2</v>
      </c>
    </row>
    <row r="11" ht="28.8" customHeight="1" s="8">
      <c r="A11" s="4" t="inlineStr">
        <is>
          <t>Nº</t>
        </is>
      </c>
      <c r="B11" s="4" t="inlineStr">
        <is>
          <t>Diana objetivo (1–9)</t>
        </is>
      </c>
      <c r="C11" s="4" t="inlineStr">
        <is>
          <t>e_x profundidad (mm)</t>
        </is>
      </c>
      <c r="D11" s="4" t="inlineStr">
        <is>
          <t>e_y lateral (mm)</t>
        </is>
      </c>
      <c r="E11" s="4" t="inlineStr">
        <is>
          <t>e_r radial (mm)</t>
        </is>
      </c>
      <c r="F11" s="4" t="inlineStr">
        <is>
          <t>Notas</t>
        </is>
      </c>
    </row>
    <row r="12">
      <c r="A12" s="5" t="n">
        <v>1</v>
      </c>
      <c r="B12" s="5" t="n">
        <v>7</v>
      </c>
      <c r="C12" s="5" t="n">
        <v>-25</v>
      </c>
      <c r="D12" s="5" t="n">
        <v>6</v>
      </c>
      <c r="E12" s="5">
        <f>IF(AND(C12&lt;&gt;"",D12&lt;&gt;""),SQRT(C12^2+D12^2),"")</f>
        <v/>
      </c>
      <c r="F12" s="6" t="n"/>
    </row>
    <row r="13">
      <c r="A13" s="5" t="n">
        <v>2</v>
      </c>
      <c r="B13" s="5" t="n">
        <v>5</v>
      </c>
      <c r="C13" s="5" t="n">
        <v>-2</v>
      </c>
      <c r="D13" s="5" t="n">
        <v>5</v>
      </c>
      <c r="E13" s="5">
        <f>IF(AND(C13&lt;&gt;"",D13&lt;&gt;""),SQRT(C13^2+D13^2),"")</f>
        <v/>
      </c>
      <c r="F13" s="6" t="n"/>
    </row>
    <row r="14">
      <c r="A14" s="5" t="n">
        <v>3</v>
      </c>
      <c r="B14" s="5" t="n">
        <v>9</v>
      </c>
      <c r="C14" s="5" t="n">
        <v>9</v>
      </c>
      <c r="D14" s="5" t="n">
        <v>8</v>
      </c>
      <c r="E14" s="5">
        <f>IF(AND(C14&lt;&gt;"",D14&lt;&gt;""),SQRT(C14^2+D14^2),"")</f>
        <v/>
      </c>
      <c r="F14" s="6" t="n"/>
    </row>
    <row r="15">
      <c r="A15" s="5" t="n">
        <v>4</v>
      </c>
      <c r="B15" s="5" t="n">
        <v>2</v>
      </c>
      <c r="C15" s="5" t="n">
        <v>14</v>
      </c>
      <c r="D15" s="5" t="n">
        <v>11</v>
      </c>
      <c r="E15" s="5">
        <f>IF(AND(C15&lt;&gt;"",D15&lt;&gt;""),SQRT(C15^2+D15^2),"")</f>
        <v/>
      </c>
      <c r="F15" s="6" t="n"/>
    </row>
    <row r="16">
      <c r="A16" s="5" t="n">
        <v>5</v>
      </c>
      <c r="B16" s="5" t="n">
        <v>1</v>
      </c>
      <c r="C16" s="5" t="n">
        <v>-9</v>
      </c>
      <c r="D16" s="5" t="n">
        <v>8</v>
      </c>
      <c r="E16" s="5">
        <f>IF(AND(C16&lt;&gt;"",D16&lt;&gt;""),SQRT(C16^2+D16^2),"")</f>
        <v/>
      </c>
      <c r="F16" s="6" t="n"/>
    </row>
    <row r="17">
      <c r="A17" s="5" t="n">
        <v>6</v>
      </c>
      <c r="B17" s="5" t="n">
        <v>6</v>
      </c>
      <c r="C17" s="5" t="n">
        <v>22</v>
      </c>
      <c r="D17" s="5" t="n">
        <v>1</v>
      </c>
      <c r="E17" s="5">
        <f>IF(AND(C17&lt;&gt;"",D17&lt;&gt;""),SQRT(C17^2+D17^2),"")</f>
        <v/>
      </c>
      <c r="F17" s="6" t="n"/>
    </row>
    <row r="18">
      <c r="A18" s="5" t="n">
        <v>7</v>
      </c>
      <c r="B18" s="5" t="n">
        <v>4</v>
      </c>
      <c r="C18" s="5" t="n">
        <v>-35</v>
      </c>
      <c r="D18" s="5" t="n">
        <v>13</v>
      </c>
      <c r="E18" s="5">
        <f>IF(AND(C18&lt;&gt;"",D18&lt;&gt;""),SQRT(C18^2+D18^2),"")</f>
        <v/>
      </c>
      <c r="F18" s="6" t="n"/>
    </row>
    <row r="19">
      <c r="A19" s="5" t="n">
        <v>8</v>
      </c>
      <c r="B19" s="5" t="n">
        <v>8</v>
      </c>
      <c r="C19" s="5" t="n">
        <v>14</v>
      </c>
      <c r="D19" s="5" t="n">
        <v>-2</v>
      </c>
      <c r="E19" s="5">
        <f>IF(AND(C19&lt;&gt;"",D19&lt;&gt;""),SQRT(C19^2+D19^2),"")</f>
        <v/>
      </c>
      <c r="F19" s="6" t="n"/>
    </row>
    <row r="20">
      <c r="A20" s="5" t="n">
        <v>9</v>
      </c>
      <c r="B20" s="5" t="n">
        <v>3</v>
      </c>
      <c r="C20" s="5" t="n">
        <v>10</v>
      </c>
      <c r="D20" s="5" t="n">
        <v>-2</v>
      </c>
      <c r="E20" s="5">
        <f>IF(AND(C20&lt;&gt;"",D20&lt;&gt;""),SQRT(C20^2+D20^2),"")</f>
        <v/>
      </c>
      <c r="F20" s="6" t="n"/>
    </row>
    <row r="21">
      <c r="A21" s="5" t="n">
        <v>10</v>
      </c>
      <c r="B21" s="5" t="n">
        <v>8</v>
      </c>
      <c r="C21" s="5" t="n">
        <v>17</v>
      </c>
      <c r="D21" s="5" t="n">
        <v>7</v>
      </c>
      <c r="E21" s="5">
        <f>IF(AND(C21&lt;&gt;"",D21&lt;&gt;""),SQRT(C21^2+D21^2),"")</f>
        <v/>
      </c>
      <c r="F21" s="6" t="n"/>
    </row>
    <row r="22">
      <c r="A22" s="5" t="n">
        <v>11</v>
      </c>
      <c r="B22" s="5" t="n">
        <v>5</v>
      </c>
      <c r="C22" s="5" t="n">
        <v>2</v>
      </c>
      <c r="D22" s="5" t="n">
        <v>3</v>
      </c>
      <c r="E22" s="5">
        <f>IF(AND(C22&lt;&gt;"",D22&lt;&gt;""),SQRT(C22^2+D22^2),"")</f>
        <v/>
      </c>
      <c r="F22" s="6" t="n"/>
    </row>
    <row r="23">
      <c r="A23" s="5" t="n">
        <v>12</v>
      </c>
      <c r="B23" s="5" t="n">
        <v>6</v>
      </c>
      <c r="C23" s="5" t="n">
        <v>6</v>
      </c>
      <c r="D23" s="5" t="n">
        <v>1</v>
      </c>
      <c r="E23" s="5">
        <f>IF(AND(C23&lt;&gt;"",D23&lt;&gt;""),SQRT(C23^2+D23^2),"")</f>
        <v/>
      </c>
      <c r="F23" s="6" t="n"/>
    </row>
    <row r="24">
      <c r="A24" s="5" t="n">
        <v>13</v>
      </c>
      <c r="B24" s="5" t="n">
        <v>2</v>
      </c>
      <c r="C24" s="5" t="n">
        <v>17</v>
      </c>
      <c r="D24" s="5" t="n">
        <v>17</v>
      </c>
      <c r="E24" s="5">
        <f>IF(AND(C24&lt;&gt;"",D24&lt;&gt;""),SQRT(C24^2+D24^2),"")</f>
        <v/>
      </c>
      <c r="F24" s="6" t="n"/>
    </row>
    <row r="25">
      <c r="A25" s="5" t="n">
        <v>14</v>
      </c>
      <c r="B25" s="5" t="n">
        <v>1</v>
      </c>
      <c r="C25" s="5" t="n">
        <v>1</v>
      </c>
      <c r="D25" s="5" t="n">
        <v>-11</v>
      </c>
      <c r="E25" s="5">
        <f>IF(AND(C25&lt;&gt;"",D25&lt;&gt;""),SQRT(C25^2+D25^2),"")</f>
        <v/>
      </c>
      <c r="F25" s="6" t="n"/>
    </row>
    <row r="26">
      <c r="A26" s="5" t="n">
        <v>15</v>
      </c>
      <c r="B26" s="5" t="n">
        <v>4</v>
      </c>
      <c r="C26" s="5" t="n">
        <v>-5</v>
      </c>
      <c r="D26" s="5" t="n">
        <v>8</v>
      </c>
      <c r="E26" s="5">
        <f>IF(AND(C26&lt;&gt;"",D26&lt;&gt;""),SQRT(C26^2+D26^2),"")</f>
        <v/>
      </c>
      <c r="F26" s="6" t="n"/>
    </row>
    <row r="27">
      <c r="A27" s="5" t="n">
        <v>16</v>
      </c>
      <c r="B27" s="5" t="n">
        <v>3</v>
      </c>
      <c r="C27" s="5" t="n">
        <v>24</v>
      </c>
      <c r="D27" s="5" t="n">
        <v>-8</v>
      </c>
      <c r="E27" s="5">
        <f>IF(AND(C27&lt;&gt;"",D27&lt;&gt;""),SQRT(C27^2+D27^2),"")</f>
        <v/>
      </c>
      <c r="F27" s="6" t="n"/>
    </row>
    <row r="28">
      <c r="A28" s="5" t="n">
        <v>17</v>
      </c>
      <c r="B28" s="5" t="n">
        <v>7</v>
      </c>
      <c r="C28" s="5" t="n">
        <v>-22</v>
      </c>
      <c r="D28" s="5" t="n">
        <v>1</v>
      </c>
      <c r="E28" s="5">
        <f>IF(AND(C28&lt;&gt;"",D28&lt;&gt;""),SQRT(C28^2+D28^2),"")</f>
        <v/>
      </c>
      <c r="F28" s="6" t="n"/>
    </row>
    <row r="29">
      <c r="A29" s="5" t="n">
        <v>18</v>
      </c>
      <c r="B29" s="5" t="n">
        <v>9</v>
      </c>
      <c r="C29" s="5" t="n">
        <v>33</v>
      </c>
      <c r="D29" s="5" t="n">
        <v>9</v>
      </c>
      <c r="E29" s="5">
        <f>IF(AND(C29&lt;&gt;"",D29&lt;&gt;""),SQRT(C29^2+D29^2),"")</f>
        <v/>
      </c>
      <c r="F29" s="6" t="n"/>
    </row>
    <row r="30">
      <c r="A30" s="5" t="n">
        <v>19</v>
      </c>
      <c r="B30" s="5" t="n">
        <v>6</v>
      </c>
      <c r="C30" s="5" t="n">
        <v>30</v>
      </c>
      <c r="D30" s="5" t="n">
        <v>30</v>
      </c>
      <c r="E30" s="5">
        <f>IF(AND(C30&lt;&gt;"",D30&lt;&gt;""),SQRT(C30^2+D30^2),"")</f>
        <v/>
      </c>
      <c r="F30" s="6" t="n"/>
    </row>
    <row r="31">
      <c r="A31" s="5" t="n">
        <v>20</v>
      </c>
      <c r="B31" s="5" t="n">
        <v>9</v>
      </c>
      <c r="C31" s="5" t="n">
        <v>6</v>
      </c>
      <c r="D31" s="5" t="n">
        <v>-4</v>
      </c>
      <c r="E31" s="5">
        <f>IF(AND(C31&lt;&gt;"",D31&lt;&gt;""),SQRT(C31^2+D31^2),"")</f>
        <v/>
      </c>
      <c r="F31" s="6" t="n"/>
    </row>
    <row r="32">
      <c r="A32" s="5" t="n">
        <v>21</v>
      </c>
      <c r="B32" s="5" t="n">
        <v>5</v>
      </c>
      <c r="C32" s="5" t="n">
        <v>33</v>
      </c>
      <c r="D32" s="5" t="n">
        <v>-1</v>
      </c>
      <c r="E32" s="5">
        <f>IF(AND(C32&lt;&gt;"",D32&lt;&gt;""),SQRT(C32^2+D32^2),"")</f>
        <v/>
      </c>
      <c r="F32" s="6" t="n"/>
    </row>
    <row r="33">
      <c r="A33" s="5" t="n">
        <v>22</v>
      </c>
      <c r="B33" s="5" t="n">
        <v>8</v>
      </c>
      <c r="C33" s="5" t="n">
        <v>-4</v>
      </c>
      <c r="D33" s="5" t="n">
        <v>1</v>
      </c>
      <c r="E33" s="5">
        <f>IF(AND(C33&lt;&gt;"",D33&lt;&gt;""),SQRT(C33^2+D33^2),"")</f>
        <v/>
      </c>
      <c r="F33" s="6" t="n"/>
    </row>
    <row r="34">
      <c r="A34" s="5" t="n">
        <v>23</v>
      </c>
      <c r="B34" s="5" t="n">
        <v>7</v>
      </c>
      <c r="C34" s="5" t="n">
        <v>-29</v>
      </c>
      <c r="D34" s="5" t="n">
        <v>6</v>
      </c>
      <c r="E34" s="5">
        <f>IF(AND(C34&lt;&gt;"",D34&lt;&gt;""),SQRT(C34^2+D34^2),"")</f>
        <v/>
      </c>
      <c r="F34" s="6" t="n"/>
    </row>
    <row r="35">
      <c r="A35" s="5" t="n">
        <v>24</v>
      </c>
      <c r="B35" s="5" t="n">
        <v>4</v>
      </c>
      <c r="C35" s="5" t="n">
        <v>-16</v>
      </c>
      <c r="D35" s="5" t="n">
        <v>-2</v>
      </c>
      <c r="E35" s="5">
        <f>IF(AND(C35&lt;&gt;"",D35&lt;&gt;""),SQRT(C35^2+D35^2),"")</f>
        <v/>
      </c>
      <c r="F35" s="6" t="n"/>
    </row>
    <row r="36">
      <c r="A36" s="5" t="n">
        <v>25</v>
      </c>
      <c r="B36" s="5" t="n">
        <v>2</v>
      </c>
      <c r="C36" s="5" t="n">
        <v>30</v>
      </c>
      <c r="D36" s="5" t="n">
        <v>-8</v>
      </c>
      <c r="E36" s="5">
        <f>IF(AND(C36&lt;&gt;"",D36&lt;&gt;""),SQRT(C36^2+D36^2),"")</f>
        <v/>
      </c>
      <c r="F36" s="6" t="n"/>
    </row>
    <row r="37">
      <c r="A37" s="5" t="n">
        <v>26</v>
      </c>
      <c r="B37" s="5" t="n">
        <v>1</v>
      </c>
      <c r="C37" s="5" t="n">
        <v>1</v>
      </c>
      <c r="D37" s="5" t="n">
        <v>2</v>
      </c>
      <c r="E37" s="5">
        <f>IF(AND(C37&lt;&gt;"",D37&lt;&gt;""),SQRT(C37^2+D37^2),"")</f>
        <v/>
      </c>
      <c r="F37" s="6" t="n"/>
    </row>
    <row r="38">
      <c r="A38" s="5" t="n">
        <v>27</v>
      </c>
      <c r="B38" s="5" t="n">
        <v>3</v>
      </c>
      <c r="C38" s="5" t="n">
        <v>34</v>
      </c>
      <c r="D38" s="5" t="n">
        <v>-10</v>
      </c>
      <c r="E38" s="5">
        <f>IF(AND(C38&lt;&gt;"",D38&lt;&gt;""),SQRT(C38^2+D38^2),"")</f>
        <v/>
      </c>
      <c r="F38" s="6" t="n"/>
    </row>
    <row r="40">
      <c r="A40" s="1" t="inlineStr">
        <is>
          <t>Resumen estadístico</t>
        </is>
      </c>
    </row>
    <row r="41">
      <c r="A41" t="inlineStr">
        <is>
          <t>Media e_x (mm)</t>
        </is>
      </c>
      <c r="B41" s="3">
        <f>AVERAGE(C12:C38)</f>
        <v/>
      </c>
    </row>
    <row r="42">
      <c r="A42" t="inlineStr">
        <is>
          <t>Desv. típica e_x (mm)</t>
        </is>
      </c>
      <c r="B42" s="3">
        <f>STDEV(C12:C38)</f>
        <v/>
      </c>
    </row>
    <row r="43">
      <c r="A43" t="inlineStr">
        <is>
          <t>Media e_y (mm)</t>
        </is>
      </c>
      <c r="B43" s="3">
        <f>AVERAGE(D12:D38)</f>
        <v/>
      </c>
    </row>
    <row r="44">
      <c r="A44" t="inlineStr">
        <is>
          <t>Desv. típica e_y (mm)</t>
        </is>
      </c>
      <c r="B44" s="3">
        <f>STDEV(D12:D38)</f>
        <v/>
      </c>
    </row>
    <row r="45">
      <c r="A45" t="inlineStr">
        <is>
          <t>Media e_r (mm)</t>
        </is>
      </c>
      <c r="B45" s="3">
        <f>AVERAGE(E12:E38)</f>
        <v/>
      </c>
    </row>
    <row r="46">
      <c r="A46" t="inlineStr">
        <is>
          <t>Desv. típica e_r (mm)</t>
        </is>
      </c>
      <c r="B46" s="3">
        <f>STDEV(E12:E38)</f>
        <v/>
      </c>
    </row>
    <row r="47">
      <c r="A47" t="inlineStr">
        <is>
          <t>Máx. e_r (mm)</t>
        </is>
      </c>
      <c r="B47" s="3">
        <f>MAX(E12:E38)</f>
        <v/>
      </c>
    </row>
    <row r="48">
      <c r="A48" t="inlineStr">
        <is>
          <t>Media |e_x| (mm)</t>
        </is>
      </c>
      <c r="B48" s="3">
        <f>SUMPRODUCT(ABS(C12:C38))/COUNT(C12:C38)</f>
        <v/>
      </c>
    </row>
    <row r="49">
      <c r="A49" t="inlineStr">
        <is>
          <t>Media |e_y| (mm)</t>
        </is>
      </c>
      <c r="B49" s="3">
        <f>SUMPRODUCT(ABS(D12:D38))/COUNT(D12:D38)</f>
        <v/>
      </c>
    </row>
  </sheetData>
  <mergeCells count="8">
    <mergeCell ref="A2:F2"/>
    <mergeCell ref="B5:D5"/>
    <mergeCell ref="A1:F1"/>
    <mergeCell ref="B8:D8"/>
    <mergeCell ref="B4:D4"/>
    <mergeCell ref="B9:D9"/>
    <mergeCell ref="B7:D7"/>
    <mergeCell ref="B6:D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B8" sqref="B8:D8"/>
    </sheetView>
  </sheetViews>
  <sheetFormatPr baseColWidth="10" defaultColWidth="8.88671875" defaultRowHeight="14.4"/>
  <cols>
    <col width="34.109375" customWidth="1" style="8" min="1" max="1"/>
    <col width="16" customWidth="1" style="8" min="2" max="2"/>
    <col width="20" customWidth="1" style="8" min="3" max="3"/>
    <col width="16" customWidth="1" style="8" min="4" max="5"/>
    <col width="40" customWidth="1" style="8" min="6" max="6"/>
  </cols>
  <sheetData>
    <row r="1" ht="18" customHeight="1" s="8">
      <c r="A1" s="7" t="inlineStr">
        <is>
          <t>Hoja de Registro — M2 Precisión de Posicionado</t>
        </is>
      </c>
    </row>
    <row r="2">
      <c r="A2" s="9" t="inlineStr">
        <is>
          <t>TFG - Teleoperación XR de RoArm M2 | Universidad de Málaga</t>
        </is>
      </c>
    </row>
    <row r="4">
      <c r="A4" s="1" t="inlineStr">
        <is>
          <t>Condición:</t>
        </is>
      </c>
      <c r="B4" t="inlineStr">
        <is>
          <t>C2 — Ethernet + Clumsy, carga media</t>
        </is>
      </c>
    </row>
    <row r="5">
      <c r="A5" s="1" t="inlineStr">
        <is>
          <t>Fecha:</t>
        </is>
      </c>
      <c r="B5" t="inlineStr">
        <is>
          <t>21/08/2026</t>
        </is>
      </c>
    </row>
    <row r="6">
      <c r="A6" s="1" t="inlineStr">
        <is>
          <t>Operador (Quest):</t>
        </is>
      </c>
      <c r="B6" t="inlineStr">
        <is>
          <t>Borja</t>
        </is>
      </c>
    </row>
    <row r="7">
      <c r="A7" s="1" t="inlineStr">
        <is>
          <t>Observador:</t>
        </is>
      </c>
    </row>
    <row r="8">
      <c r="A8" s="1" t="inlineStr">
        <is>
          <t>Tiempo de realización (mm:ss):</t>
        </is>
      </c>
      <c r="B8" s="10" t="inlineStr">
        <is>
          <t>22:26.20</t>
        </is>
      </c>
    </row>
    <row r="9">
      <c r="A9" s="1" t="inlineStr">
        <is>
          <t>Recalibraciones durante la sesión (nº):</t>
        </is>
      </c>
      <c r="B9" t="n">
        <v>0</v>
      </c>
    </row>
    <row r="11" ht="28.8" customHeight="1" s="8">
      <c r="A11" s="4" t="inlineStr">
        <is>
          <t>Nº</t>
        </is>
      </c>
      <c r="B11" s="4" t="inlineStr">
        <is>
          <t>Diana objetivo (1–9)</t>
        </is>
      </c>
      <c r="C11" s="4" t="inlineStr">
        <is>
          <t>e_x profundidad (mm)</t>
        </is>
      </c>
      <c r="D11" s="4" t="inlineStr">
        <is>
          <t>e_y lateral (mm)</t>
        </is>
      </c>
      <c r="E11" s="4" t="inlineStr">
        <is>
          <t>e_r radial (mm)</t>
        </is>
      </c>
      <c r="F11" s="4" t="inlineStr">
        <is>
          <t>Notas</t>
        </is>
      </c>
    </row>
    <row r="12">
      <c r="A12" s="5" t="n">
        <v>1</v>
      </c>
      <c r="B12" s="5" t="n">
        <v>3</v>
      </c>
      <c r="C12" s="5" t="n">
        <v>21</v>
      </c>
      <c r="D12" s="5" t="n">
        <v>0</v>
      </c>
      <c r="E12" s="5">
        <f>IF(AND(C12&lt;&gt;"",D12&lt;&gt;""),SQRT(C12^2+D12^2),"")</f>
        <v/>
      </c>
      <c r="F12" s="6" t="n"/>
    </row>
    <row r="13">
      <c r="A13" s="5" t="n">
        <v>2</v>
      </c>
      <c r="B13" s="5" t="n">
        <v>5</v>
      </c>
      <c r="C13" s="5" t="n">
        <v>-13</v>
      </c>
      <c r="D13" s="5" t="n">
        <v>4</v>
      </c>
      <c r="E13" s="5">
        <f>IF(AND(C13&lt;&gt;"",D13&lt;&gt;""),SQRT(C13^2+D13^2),"")</f>
        <v/>
      </c>
      <c r="F13" s="6" t="n"/>
    </row>
    <row r="14">
      <c r="A14" s="5" t="n">
        <v>3</v>
      </c>
      <c r="B14" s="5" t="n">
        <v>4</v>
      </c>
      <c r="C14" s="5" t="n">
        <v>-8</v>
      </c>
      <c r="D14" s="5" t="n">
        <v>-3</v>
      </c>
      <c r="E14" s="5">
        <f>IF(AND(C14&lt;&gt;"",D14&lt;&gt;""),SQRT(C14^2+D14^2),"")</f>
        <v/>
      </c>
      <c r="F14" s="6" t="n"/>
    </row>
    <row r="15">
      <c r="A15" s="5" t="n">
        <v>4</v>
      </c>
      <c r="B15" s="5" t="n">
        <v>1</v>
      </c>
      <c r="C15" s="5" t="n">
        <v>3</v>
      </c>
      <c r="D15" s="5" t="n">
        <v>0</v>
      </c>
      <c r="E15" s="5">
        <f>IF(AND(C15&lt;&gt;"",D15&lt;&gt;""),SQRT(C15^2+D15^2),"")</f>
        <v/>
      </c>
      <c r="F15" s="6" t="n"/>
    </row>
    <row r="16">
      <c r="A16" s="5" t="n">
        <v>5</v>
      </c>
      <c r="B16" s="5" t="n">
        <v>7</v>
      </c>
      <c r="C16" s="5" t="n">
        <v>-14</v>
      </c>
      <c r="D16" s="5" t="n">
        <v>1</v>
      </c>
      <c r="E16" s="5">
        <f>IF(AND(C16&lt;&gt;"",D16&lt;&gt;""),SQRT(C16^2+D16^2),"")</f>
        <v/>
      </c>
      <c r="F16" s="6" t="n"/>
    </row>
    <row r="17">
      <c r="A17" s="5" t="n">
        <v>6</v>
      </c>
      <c r="B17" s="5" t="n">
        <v>2</v>
      </c>
      <c r="C17" s="5" t="n">
        <v>18</v>
      </c>
      <c r="D17" s="5" t="n">
        <v>-8</v>
      </c>
      <c r="E17" s="5">
        <f>IF(AND(C17&lt;&gt;"",D17&lt;&gt;""),SQRT(C17^2+D17^2),"")</f>
        <v/>
      </c>
      <c r="F17" s="6" t="n"/>
    </row>
    <row r="18">
      <c r="A18" s="5" t="n">
        <v>7</v>
      </c>
      <c r="B18" s="5" t="n">
        <v>6</v>
      </c>
      <c r="C18" s="5" t="n">
        <v>-11</v>
      </c>
      <c r="D18" s="5" t="n">
        <v>-6</v>
      </c>
      <c r="E18" s="5">
        <f>IF(AND(C18&lt;&gt;"",D18&lt;&gt;""),SQRT(C18^2+D18^2),"")</f>
        <v/>
      </c>
      <c r="F18" s="6" t="n"/>
    </row>
    <row r="19">
      <c r="A19" s="5" t="n">
        <v>8</v>
      </c>
      <c r="B19" s="5" t="n">
        <v>8</v>
      </c>
      <c r="C19" s="5" t="n">
        <v>6</v>
      </c>
      <c r="D19" s="5" t="n">
        <v>1</v>
      </c>
      <c r="E19" s="5">
        <f>IF(AND(C19&lt;&gt;"",D19&lt;&gt;""),SQRT(C19^2+D19^2),"")</f>
        <v/>
      </c>
      <c r="F19" s="6" t="n"/>
    </row>
    <row r="20">
      <c r="A20" s="5" t="n">
        <v>9</v>
      </c>
      <c r="B20" s="5" t="n">
        <v>9</v>
      </c>
      <c r="C20" s="5" t="n">
        <v>-9</v>
      </c>
      <c r="D20" s="5" t="n">
        <v>19</v>
      </c>
      <c r="E20" s="5">
        <f>IF(AND(C20&lt;&gt;"",D20&lt;&gt;""),SQRT(C20^2+D20^2),"")</f>
        <v/>
      </c>
      <c r="F20" s="6" t="n"/>
    </row>
    <row r="21">
      <c r="A21" s="5" t="n">
        <v>10</v>
      </c>
      <c r="B21" s="5" t="n">
        <v>8</v>
      </c>
      <c r="C21" s="5" t="n">
        <v>-2</v>
      </c>
      <c r="D21" s="5" t="n">
        <v>4</v>
      </c>
      <c r="E21" s="5">
        <f>IF(AND(C21&lt;&gt;"",D21&lt;&gt;""),SQRT(C21^2+D21^2),"")</f>
        <v/>
      </c>
      <c r="F21" s="6" t="n"/>
    </row>
    <row r="22">
      <c r="A22" s="5" t="n">
        <v>11</v>
      </c>
      <c r="B22" s="5" t="n">
        <v>1</v>
      </c>
      <c r="C22" s="5" t="n">
        <v>5</v>
      </c>
      <c r="D22" s="5" t="n">
        <v>4</v>
      </c>
      <c r="E22" s="5">
        <f>IF(AND(C22&lt;&gt;"",D22&lt;&gt;""),SQRT(C22^2+D22^2),"")</f>
        <v/>
      </c>
      <c r="F22" s="6" t="n"/>
    </row>
    <row r="23">
      <c r="A23" s="5" t="n">
        <v>12</v>
      </c>
      <c r="B23" s="5" t="n">
        <v>2</v>
      </c>
      <c r="C23" s="5" t="n">
        <v>5</v>
      </c>
      <c r="D23" s="5" t="n">
        <v>4</v>
      </c>
      <c r="E23" s="5">
        <f>IF(AND(C23&lt;&gt;"",D23&lt;&gt;""),SQRT(C23^2+D23^2),"")</f>
        <v/>
      </c>
      <c r="F23" s="6" t="n"/>
    </row>
    <row r="24">
      <c r="A24" s="5" t="n">
        <v>13</v>
      </c>
      <c r="B24" s="5" t="n">
        <v>4</v>
      </c>
      <c r="C24" s="5" t="n">
        <v>-14</v>
      </c>
      <c r="D24" s="5" t="n">
        <v>-7</v>
      </c>
      <c r="E24" s="5">
        <f>IF(AND(C24&lt;&gt;"",D24&lt;&gt;""),SQRT(C24^2+D24^2),"")</f>
        <v/>
      </c>
      <c r="F24" s="6" t="n"/>
    </row>
    <row r="25">
      <c r="A25" s="5" t="n">
        <v>14</v>
      </c>
      <c r="B25" s="5" t="n">
        <v>3</v>
      </c>
      <c r="C25" s="5" t="n">
        <v>-5</v>
      </c>
      <c r="D25" s="5" t="n">
        <v>10</v>
      </c>
      <c r="E25" s="5">
        <f>IF(AND(C25&lt;&gt;"",D25&lt;&gt;""),SQRT(C25^2+D25^2),"")</f>
        <v/>
      </c>
      <c r="F25" s="6" t="n"/>
    </row>
    <row r="26">
      <c r="A26" s="5" t="n">
        <v>15</v>
      </c>
      <c r="B26" s="5" t="n">
        <v>5</v>
      </c>
      <c r="C26" s="5" t="n">
        <v>5</v>
      </c>
      <c r="D26" s="5" t="n">
        <v>0</v>
      </c>
      <c r="E26" s="5">
        <f>IF(AND(C26&lt;&gt;"",D26&lt;&gt;""),SQRT(C26^2+D26^2),"")</f>
        <v/>
      </c>
      <c r="F26" s="6" t="n"/>
    </row>
    <row r="27">
      <c r="A27" s="5" t="n">
        <v>16</v>
      </c>
      <c r="B27" s="5" t="n">
        <v>7</v>
      </c>
      <c r="C27" s="5" t="n">
        <v>-15</v>
      </c>
      <c r="D27" s="5" t="n">
        <v>4</v>
      </c>
      <c r="E27" s="5">
        <f>IF(AND(C27&lt;&gt;"",D27&lt;&gt;""),SQRT(C27^2+D27^2),"")</f>
        <v/>
      </c>
      <c r="F27" s="6" t="n"/>
    </row>
    <row r="28">
      <c r="A28" s="5" t="n">
        <v>17</v>
      </c>
      <c r="B28" s="5" t="n">
        <v>6</v>
      </c>
      <c r="C28" s="5" t="n">
        <v>-15</v>
      </c>
      <c r="D28" s="5" t="n">
        <v>3</v>
      </c>
      <c r="E28" s="5">
        <f>IF(AND(C28&lt;&gt;"",D28&lt;&gt;""),SQRT(C28^2+D28^2),"")</f>
        <v/>
      </c>
      <c r="F28" s="6" t="n"/>
    </row>
    <row r="29">
      <c r="A29" s="5" t="n">
        <v>18</v>
      </c>
      <c r="B29" s="5" t="n">
        <v>9</v>
      </c>
      <c r="C29" s="5" t="n">
        <v>-19</v>
      </c>
      <c r="D29" s="5" t="n">
        <v>-2</v>
      </c>
      <c r="E29" s="5">
        <f>IF(AND(C29&lt;&gt;"",D29&lt;&gt;""),SQRT(C29^2+D29^2),"")</f>
        <v/>
      </c>
      <c r="F29" s="6" t="n"/>
    </row>
    <row r="30">
      <c r="A30" s="5" t="n">
        <v>19</v>
      </c>
      <c r="B30" s="5" t="n">
        <v>4</v>
      </c>
      <c r="C30" s="5" t="n">
        <v>-20</v>
      </c>
      <c r="D30" s="5" t="n">
        <v>9</v>
      </c>
      <c r="E30" s="5">
        <f>IF(AND(C30&lt;&gt;"",D30&lt;&gt;""),SQRT(C30^2+D30^2),"")</f>
        <v/>
      </c>
      <c r="F30" s="6" t="n"/>
    </row>
    <row r="31">
      <c r="A31" s="5" t="n">
        <v>20</v>
      </c>
      <c r="B31" s="5" t="n">
        <v>5</v>
      </c>
      <c r="C31" s="5" t="n">
        <v>23</v>
      </c>
      <c r="D31" s="5" t="n">
        <v>-20</v>
      </c>
      <c r="E31" s="5">
        <f>IF(AND(C31&lt;&gt;"",D31&lt;&gt;""),SQRT(C31^2+D31^2),"")</f>
        <v/>
      </c>
      <c r="F31" s="6" t="n"/>
    </row>
    <row r="32">
      <c r="A32" s="5" t="n">
        <v>21</v>
      </c>
      <c r="B32" s="5" t="n">
        <v>3</v>
      </c>
      <c r="C32" s="5" t="n">
        <v>-2</v>
      </c>
      <c r="D32" s="5" t="n">
        <v>-13</v>
      </c>
      <c r="E32" s="5">
        <f>IF(AND(C32&lt;&gt;"",D32&lt;&gt;""),SQRT(C32^2+D32^2),"")</f>
        <v/>
      </c>
      <c r="F32" s="6" t="n"/>
    </row>
    <row r="33">
      <c r="A33" s="5" t="n">
        <v>22</v>
      </c>
      <c r="B33" s="5" t="n">
        <v>2</v>
      </c>
      <c r="C33" s="5" t="n">
        <v>19</v>
      </c>
      <c r="D33" s="5" t="n">
        <v>-2</v>
      </c>
      <c r="E33" s="5">
        <f>IF(AND(C33&lt;&gt;"",D33&lt;&gt;""),SQRT(C33^2+D33^2),"")</f>
        <v/>
      </c>
      <c r="F33" s="6" t="n"/>
    </row>
    <row r="34">
      <c r="A34" s="5" t="n">
        <v>23</v>
      </c>
      <c r="B34" s="5" t="n">
        <v>9</v>
      </c>
      <c r="C34" s="5" t="n">
        <v>-4</v>
      </c>
      <c r="D34" s="5" t="n">
        <v>23</v>
      </c>
      <c r="E34" s="5">
        <f>IF(AND(C34&lt;&gt;"",D34&lt;&gt;""),SQRT(C34^2+D34^2),"")</f>
        <v/>
      </c>
      <c r="F34" s="6" t="n"/>
    </row>
    <row r="35">
      <c r="A35" s="5" t="n">
        <v>24</v>
      </c>
      <c r="B35" s="5" t="n">
        <v>8</v>
      </c>
      <c r="C35" s="5" t="n">
        <v>-1</v>
      </c>
      <c r="D35" s="5" t="n">
        <v>1</v>
      </c>
      <c r="E35" s="5">
        <f>IF(AND(C35&lt;&gt;"",D35&lt;&gt;""),SQRT(C35^2+D35^2),"")</f>
        <v/>
      </c>
      <c r="F35" s="6" t="n"/>
    </row>
    <row r="36">
      <c r="A36" s="5" t="n">
        <v>25</v>
      </c>
      <c r="B36" s="5" t="n">
        <v>7</v>
      </c>
      <c r="C36" s="5" t="n">
        <v>-26</v>
      </c>
      <c r="D36" s="5" t="n">
        <v>5</v>
      </c>
      <c r="E36" s="5">
        <f>IF(AND(C36&lt;&gt;"",D36&lt;&gt;""),SQRT(C36^2+D36^2),"")</f>
        <v/>
      </c>
      <c r="F36" s="6" t="n"/>
    </row>
    <row r="37">
      <c r="A37" s="5" t="n">
        <v>26</v>
      </c>
      <c r="B37" s="5" t="n">
        <v>6</v>
      </c>
      <c r="C37" s="5" t="n">
        <v>41</v>
      </c>
      <c r="D37" s="5" t="n">
        <v>-5</v>
      </c>
      <c r="E37" s="5">
        <f>IF(AND(C37&lt;&gt;"",D37&lt;&gt;""),SQRT(C37^2+D37^2),"")</f>
        <v/>
      </c>
      <c r="F37" s="6" t="n"/>
    </row>
    <row r="38">
      <c r="A38" s="5" t="n">
        <v>27</v>
      </c>
      <c r="B38" s="5" t="n">
        <v>1</v>
      </c>
      <c r="C38" s="5" t="n">
        <v>-22</v>
      </c>
      <c r="D38" s="5" t="n">
        <v>15</v>
      </c>
      <c r="E38" s="5">
        <f>IF(AND(C38&lt;&gt;"",D38&lt;&gt;""),SQRT(C38^2+D38^2),"")</f>
        <v/>
      </c>
      <c r="F38" s="6" t="n"/>
    </row>
    <row r="40">
      <c r="A40" s="1" t="inlineStr">
        <is>
          <t>Resumen estadístico</t>
        </is>
      </c>
    </row>
    <row r="41">
      <c r="A41" t="inlineStr">
        <is>
          <t>Media e_x (mm)</t>
        </is>
      </c>
      <c r="B41" s="3">
        <f>AVERAGE(C12:C38)</f>
        <v/>
      </c>
    </row>
    <row r="42">
      <c r="A42" t="inlineStr">
        <is>
          <t>Desv. típica e_x (mm)</t>
        </is>
      </c>
      <c r="B42" s="3">
        <f>STDEV(C12:C38)</f>
        <v/>
      </c>
    </row>
    <row r="43">
      <c r="A43" t="inlineStr">
        <is>
          <t>Media e_y (mm)</t>
        </is>
      </c>
      <c r="B43" s="3">
        <f>AVERAGE(D12:D38)</f>
        <v/>
      </c>
    </row>
    <row r="44">
      <c r="A44" t="inlineStr">
        <is>
          <t>Desv. típica e_y (mm)</t>
        </is>
      </c>
      <c r="B44" s="3">
        <f>STDEV(D12:D38)</f>
        <v/>
      </c>
    </row>
    <row r="45">
      <c r="A45" t="inlineStr">
        <is>
          <t>Media e_r (mm)</t>
        </is>
      </c>
      <c r="B45" s="3">
        <f>AVERAGE(E12:E38)</f>
        <v/>
      </c>
    </row>
    <row r="46">
      <c r="A46" t="inlineStr">
        <is>
          <t>Desv. típica e_r (mm)</t>
        </is>
      </c>
      <c r="B46" s="3">
        <f>STDEV(E12:E38)</f>
        <v/>
      </c>
    </row>
    <row r="47">
      <c r="A47" t="inlineStr">
        <is>
          <t>Máx. e_r (mm)</t>
        </is>
      </c>
      <c r="B47" s="3">
        <f>MAX(E12:E38)</f>
        <v/>
      </c>
    </row>
    <row r="48">
      <c r="A48" t="inlineStr">
        <is>
          <t>Media |e_x| (mm)</t>
        </is>
      </c>
      <c r="B48" s="3">
        <f>SUMPRODUCT(ABS(C12:C38))/COUNT(C12:C38)</f>
        <v/>
      </c>
    </row>
    <row r="49">
      <c r="A49" t="inlineStr">
        <is>
          <t>Media |e_y| (mm)</t>
        </is>
      </c>
      <c r="B49" s="3">
        <f>SUMPRODUCT(ABS(D12:D38))/COUNT(D12:D38)</f>
        <v/>
      </c>
    </row>
  </sheetData>
  <mergeCells count="8">
    <mergeCell ref="A2:F2"/>
    <mergeCell ref="B5:D5"/>
    <mergeCell ref="A1:F1"/>
    <mergeCell ref="B8:D8"/>
    <mergeCell ref="B4:D4"/>
    <mergeCell ref="B9:D9"/>
    <mergeCell ref="B7:D7"/>
    <mergeCell ref="B6:D6"/>
  </mergeCells>
  <pageMargins left="0.75" right="0.75" top="1" bottom="1" header="0.5" footer="0.5"/>
  <pageSetup orientation="portrait" paperSize="9" horizontalDpi="0" verticalDpi="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9"/>
  <sheetViews>
    <sheetView topLeftCell="A25" workbookViewId="0">
      <selection activeCell="C39" sqref="C39"/>
    </sheetView>
  </sheetViews>
  <sheetFormatPr baseColWidth="10" defaultColWidth="8.88671875" defaultRowHeight="14.4"/>
  <cols>
    <col width="36.33203125" customWidth="1" style="8" min="1" max="1"/>
    <col width="16" customWidth="1" style="8" min="2" max="2"/>
    <col width="20" customWidth="1" style="8" min="3" max="3"/>
    <col width="16" customWidth="1" style="8" min="4" max="5"/>
    <col width="40" customWidth="1" style="8" min="6" max="6"/>
  </cols>
  <sheetData>
    <row r="1" ht="18" customHeight="1" s="8">
      <c r="A1" s="7" t="inlineStr">
        <is>
          <t>Hoja de Registro — M2 Precisión de Posicionado</t>
        </is>
      </c>
    </row>
    <row r="2">
      <c r="A2" s="9" t="inlineStr">
        <is>
          <t>TFG - Teleoperación XR de RoArm M2 | Universidad de Málaga</t>
        </is>
      </c>
    </row>
    <row r="4">
      <c r="A4" s="1" t="inlineStr">
        <is>
          <t>Condición:</t>
        </is>
      </c>
      <c r="B4" t="inlineStr">
        <is>
          <t>C3 — Ethernet + Clumsy, carga alta</t>
        </is>
      </c>
    </row>
    <row r="5">
      <c r="A5" s="1" t="inlineStr">
        <is>
          <t>Fecha:</t>
        </is>
      </c>
      <c r="B5" t="inlineStr">
        <is>
          <t>22/08/2026</t>
        </is>
      </c>
    </row>
    <row r="6">
      <c r="A6" s="1" t="inlineStr">
        <is>
          <t>Operador (Quest):</t>
        </is>
      </c>
      <c r="B6" t="inlineStr">
        <is>
          <t>Borja</t>
        </is>
      </c>
    </row>
    <row r="7">
      <c r="A7" s="1" t="inlineStr">
        <is>
          <t>Observador:</t>
        </is>
      </c>
    </row>
    <row r="8">
      <c r="A8" s="1" t="inlineStr">
        <is>
          <t>Tiempo de realización (mm:ss):</t>
        </is>
      </c>
      <c r="B8" s="10" t="inlineStr">
        <is>
          <t>18:25.61</t>
        </is>
      </c>
    </row>
    <row r="9">
      <c r="A9" s="1" t="inlineStr">
        <is>
          <t>Recalibraciones durante la sesión (nº):</t>
        </is>
      </c>
      <c r="B9" t="n">
        <v>0</v>
      </c>
    </row>
    <row r="11" ht="28.8" customHeight="1" s="8">
      <c r="A11" s="4" t="inlineStr">
        <is>
          <t>Nº</t>
        </is>
      </c>
      <c r="B11" s="4" t="inlineStr">
        <is>
          <t>Diana objetivo (1–9)</t>
        </is>
      </c>
      <c r="C11" s="4" t="inlineStr">
        <is>
          <t>e_x profundidad (mm)</t>
        </is>
      </c>
      <c r="D11" s="4" t="inlineStr">
        <is>
          <t>e_y lateral (mm)</t>
        </is>
      </c>
      <c r="E11" s="4" t="inlineStr">
        <is>
          <t>e_r radial (mm)</t>
        </is>
      </c>
      <c r="F11" s="4" t="inlineStr">
        <is>
          <t>Notas</t>
        </is>
      </c>
    </row>
    <row r="12">
      <c r="A12" s="5" t="n">
        <v>1</v>
      </c>
      <c r="B12" s="5" t="n">
        <v>7</v>
      </c>
      <c r="C12" s="5" t="n">
        <v>-23</v>
      </c>
      <c r="D12" s="5" t="n">
        <v>-6</v>
      </c>
      <c r="E12" s="5">
        <f>IF(AND(C12&lt;&gt;"",D12&lt;&gt;""),SQRT(C12^2+D12^2),"")</f>
        <v/>
      </c>
      <c r="F12" s="6" t="n"/>
    </row>
    <row r="13">
      <c r="A13" s="5" t="n">
        <v>2</v>
      </c>
      <c r="B13" s="5" t="n">
        <v>8</v>
      </c>
      <c r="C13" s="5" t="n">
        <v>-8</v>
      </c>
      <c r="D13" s="5" t="n">
        <v>3</v>
      </c>
      <c r="E13" s="5">
        <f>IF(AND(C13&lt;&gt;"",D13&lt;&gt;""),SQRT(C13^2+D13^2),"")</f>
        <v/>
      </c>
      <c r="F13" s="6" t="n"/>
    </row>
    <row r="14">
      <c r="A14" s="5" t="n">
        <v>3</v>
      </c>
      <c r="B14" s="5" t="n">
        <v>1</v>
      </c>
      <c r="C14" s="5" t="n">
        <v>-5</v>
      </c>
      <c r="D14" s="5" t="n">
        <v>0</v>
      </c>
      <c r="E14" s="5">
        <f>IF(AND(C14&lt;&gt;"",D14&lt;&gt;""),SQRT(C14^2+D14^2),"")</f>
        <v/>
      </c>
      <c r="F14" s="6" t="n"/>
    </row>
    <row r="15">
      <c r="A15" s="5" t="n">
        <v>4</v>
      </c>
      <c r="B15" s="5" t="n">
        <v>3</v>
      </c>
      <c r="C15" s="5" t="n">
        <v>18</v>
      </c>
      <c r="D15" s="5" t="n">
        <v>-8</v>
      </c>
      <c r="E15" s="5">
        <f>IF(AND(C15&lt;&gt;"",D15&lt;&gt;""),SQRT(C15^2+D15^2),"")</f>
        <v/>
      </c>
      <c r="F15" s="6" t="n"/>
    </row>
    <row r="16">
      <c r="A16" s="5" t="n">
        <v>5</v>
      </c>
      <c r="B16" s="5" t="n">
        <v>2</v>
      </c>
      <c r="C16" s="5" t="n">
        <v>-7</v>
      </c>
      <c r="D16" s="5" t="n">
        <v>-6</v>
      </c>
      <c r="E16" s="5">
        <f>IF(AND(C16&lt;&gt;"",D16&lt;&gt;""),SQRT(C16^2+D16^2),"")</f>
        <v/>
      </c>
      <c r="F16" s="6" t="n"/>
    </row>
    <row r="17">
      <c r="A17" s="5" t="n">
        <v>6</v>
      </c>
      <c r="B17" s="5" t="n">
        <v>4</v>
      </c>
      <c r="C17" s="5" t="n">
        <v>-18</v>
      </c>
      <c r="D17" s="5" t="n">
        <v>-1</v>
      </c>
      <c r="E17" s="5">
        <f>IF(AND(C17&lt;&gt;"",D17&lt;&gt;""),SQRT(C17^2+D17^2),"")</f>
        <v/>
      </c>
      <c r="F17" s="6" t="n"/>
    </row>
    <row r="18">
      <c r="A18" s="5" t="n">
        <v>7</v>
      </c>
      <c r="B18" s="5" t="n">
        <v>5</v>
      </c>
      <c r="C18" s="5" t="n">
        <v>13</v>
      </c>
      <c r="D18" s="5" t="n">
        <v>3</v>
      </c>
      <c r="E18" s="5">
        <f>IF(AND(C18&lt;&gt;"",D18&lt;&gt;""),SQRT(C18^2+D18^2),"")</f>
        <v/>
      </c>
      <c r="F18" s="6" t="n"/>
    </row>
    <row r="19">
      <c r="A19" s="5" t="n">
        <v>8</v>
      </c>
      <c r="B19" s="5" t="n">
        <v>6</v>
      </c>
      <c r="C19" s="5" t="n">
        <v>15</v>
      </c>
      <c r="D19" s="5" t="n">
        <v>3</v>
      </c>
      <c r="E19" s="5">
        <f>IF(AND(C19&lt;&gt;"",D19&lt;&gt;""),SQRT(C19^2+D19^2),"")</f>
        <v/>
      </c>
      <c r="F19" s="6" t="n"/>
    </row>
    <row r="20">
      <c r="A20" s="5" t="n">
        <v>9</v>
      </c>
      <c r="B20" s="5" t="n">
        <v>9</v>
      </c>
      <c r="C20" s="5" t="n">
        <v>18</v>
      </c>
      <c r="D20" s="5" t="n">
        <v>3</v>
      </c>
      <c r="E20" s="5">
        <f>IF(AND(C20&lt;&gt;"",D20&lt;&gt;""),SQRT(C20^2+D20^2),"")</f>
        <v/>
      </c>
      <c r="F20" s="6" t="n"/>
    </row>
    <row r="21">
      <c r="A21" s="5" t="n">
        <v>10</v>
      </c>
      <c r="B21" s="5" t="n">
        <v>2</v>
      </c>
      <c r="C21" s="5" t="n">
        <v>35</v>
      </c>
      <c r="D21" s="5" t="n">
        <v>-2</v>
      </c>
      <c r="E21" s="5">
        <f>IF(AND(C21&lt;&gt;"",D21&lt;&gt;""),SQRT(C21^2+D21^2),"")</f>
        <v/>
      </c>
      <c r="F21" s="6" t="n"/>
    </row>
    <row r="22">
      <c r="A22" s="5" t="n">
        <v>11</v>
      </c>
      <c r="B22" s="5" t="n">
        <v>4</v>
      </c>
      <c r="C22" s="5" t="n">
        <v>-13</v>
      </c>
      <c r="D22" s="5" t="n">
        <v>-1</v>
      </c>
      <c r="E22" s="5">
        <f>IF(AND(C22&lt;&gt;"",D22&lt;&gt;""),SQRT(C22^2+D22^2),"")</f>
        <v/>
      </c>
      <c r="F22" s="6" t="n"/>
    </row>
    <row r="23">
      <c r="A23" s="5" t="n">
        <v>12</v>
      </c>
      <c r="B23" s="5" t="n">
        <v>6</v>
      </c>
      <c r="C23" s="5" t="n">
        <v>35</v>
      </c>
      <c r="D23" s="5" t="n">
        <v>5</v>
      </c>
      <c r="E23" s="5">
        <f>IF(AND(C23&lt;&gt;"",D23&lt;&gt;""),SQRT(C23^2+D23^2),"")</f>
        <v/>
      </c>
      <c r="F23" s="6" t="n"/>
    </row>
    <row r="24">
      <c r="A24" s="5" t="n">
        <v>13</v>
      </c>
      <c r="B24" s="5" t="n">
        <v>7</v>
      </c>
      <c r="C24" s="5" t="n">
        <v>-21</v>
      </c>
      <c r="D24" s="5" t="n">
        <v>-6</v>
      </c>
      <c r="E24" s="5">
        <f>IF(AND(C24&lt;&gt;"",D24&lt;&gt;""),SQRT(C24^2+D24^2),"")</f>
        <v/>
      </c>
      <c r="F24" s="6" t="n"/>
    </row>
    <row r="25">
      <c r="A25" s="5" t="n">
        <v>14</v>
      </c>
      <c r="B25" s="5" t="n">
        <v>1</v>
      </c>
      <c r="C25" s="5" t="n">
        <v>-19</v>
      </c>
      <c r="D25" s="5" t="n">
        <v>4</v>
      </c>
      <c r="E25" s="5">
        <f>IF(AND(C25&lt;&gt;"",D25&lt;&gt;""),SQRT(C25^2+D25^2),"")</f>
        <v/>
      </c>
      <c r="F25" s="6" t="n"/>
    </row>
    <row r="26">
      <c r="A26" s="5" t="n">
        <v>15</v>
      </c>
      <c r="B26" s="5" t="n">
        <v>3</v>
      </c>
      <c r="C26" s="5" t="n">
        <v>25</v>
      </c>
      <c r="D26" s="5" t="n">
        <v>-4</v>
      </c>
      <c r="E26" s="5">
        <f>IF(AND(C26&lt;&gt;"",D26&lt;&gt;""),SQRT(C26^2+D26^2),"")</f>
        <v/>
      </c>
      <c r="F26" s="6" t="n"/>
    </row>
    <row r="27">
      <c r="A27" s="5" t="n">
        <v>16</v>
      </c>
      <c r="B27" s="5" t="n">
        <v>5</v>
      </c>
      <c r="C27" s="5" t="n">
        <v>7</v>
      </c>
      <c r="D27" s="5" t="n">
        <v>0</v>
      </c>
      <c r="E27" s="5">
        <f>IF(AND(C27&lt;&gt;"",D27&lt;&gt;""),SQRT(C27^2+D27^2),"")</f>
        <v/>
      </c>
      <c r="F27" s="6" t="n"/>
    </row>
    <row r="28">
      <c r="A28" s="5" t="n">
        <v>17</v>
      </c>
      <c r="B28" s="5" t="n">
        <v>8</v>
      </c>
      <c r="C28" s="5" t="n">
        <v>-12</v>
      </c>
      <c r="D28" s="5" t="n">
        <v>1</v>
      </c>
      <c r="E28" s="5">
        <f>IF(AND(C28&lt;&gt;"",D28&lt;&gt;""),SQRT(C28^2+D28^2),"")</f>
        <v/>
      </c>
      <c r="F28" s="6" t="n"/>
    </row>
    <row r="29">
      <c r="A29" s="5" t="n">
        <v>18</v>
      </c>
      <c r="B29" s="5" t="n">
        <v>9</v>
      </c>
      <c r="C29" s="5" t="n">
        <v>5</v>
      </c>
      <c r="D29" s="5" t="n">
        <v>-19</v>
      </c>
      <c r="E29" s="5">
        <f>IF(AND(C29&lt;&gt;"",D29&lt;&gt;""),SQRT(C29^2+D29^2),"")</f>
        <v/>
      </c>
      <c r="F29" s="6" t="n"/>
    </row>
    <row r="30">
      <c r="A30" s="5" t="n">
        <v>19</v>
      </c>
      <c r="B30" s="5" t="n">
        <v>1</v>
      </c>
      <c r="C30" s="5" t="n">
        <v>-9</v>
      </c>
      <c r="D30" s="5" t="n">
        <v>-26</v>
      </c>
      <c r="E30" s="5">
        <f>IF(AND(C30&lt;&gt;"",D30&lt;&gt;""),SQRT(C30^2+D30^2),"")</f>
        <v/>
      </c>
      <c r="F30" s="6" t="n"/>
    </row>
    <row r="31">
      <c r="A31" s="5" t="n">
        <v>20</v>
      </c>
      <c r="B31" s="5" t="n">
        <v>3</v>
      </c>
      <c r="C31" s="5" t="n">
        <v>28</v>
      </c>
      <c r="D31" s="5" t="n">
        <v>-12</v>
      </c>
      <c r="E31" s="5">
        <f>IF(AND(C31&lt;&gt;"",D31&lt;&gt;""),SQRT(C31^2+D31^2),"")</f>
        <v/>
      </c>
      <c r="F31" s="6" t="n"/>
    </row>
    <row r="32">
      <c r="A32" s="5" t="n">
        <v>21</v>
      </c>
      <c r="B32" s="5" t="n">
        <v>2</v>
      </c>
      <c r="C32" s="5" t="n">
        <v>20</v>
      </c>
      <c r="D32" s="5" t="n">
        <v>-12</v>
      </c>
      <c r="E32" s="5">
        <f>IF(AND(C32&lt;&gt;"",D32&lt;&gt;""),SQRT(C32^2+D32^2),"")</f>
        <v/>
      </c>
      <c r="F32" s="6" t="n"/>
    </row>
    <row r="33">
      <c r="A33" s="5" t="n">
        <v>22</v>
      </c>
      <c r="B33" s="5" t="n">
        <v>4</v>
      </c>
      <c r="C33" s="5" t="n">
        <v>-25</v>
      </c>
      <c r="D33" s="5" t="n">
        <v>5</v>
      </c>
      <c r="E33" s="5">
        <f>IF(AND(C33&lt;&gt;"",D33&lt;&gt;""),SQRT(C33^2+D33^2),"")</f>
        <v/>
      </c>
      <c r="F33" s="6" t="n"/>
    </row>
    <row r="34">
      <c r="A34" s="5" t="n">
        <v>23</v>
      </c>
      <c r="B34" s="5" t="n">
        <v>5</v>
      </c>
      <c r="C34" s="5" t="n">
        <v>23</v>
      </c>
      <c r="D34" s="5" t="n">
        <v>-4</v>
      </c>
      <c r="E34" s="5">
        <f>IF(AND(C34&lt;&gt;"",D34&lt;&gt;""),SQRT(C34^2+D34^2),"")</f>
        <v/>
      </c>
      <c r="F34" s="6" t="n"/>
    </row>
    <row r="35">
      <c r="A35" s="5" t="n">
        <v>24</v>
      </c>
      <c r="B35" s="5" t="n">
        <v>7</v>
      </c>
      <c r="C35" s="5" t="n">
        <v>-25</v>
      </c>
      <c r="D35" s="5" t="n">
        <v>-11</v>
      </c>
      <c r="E35" s="5">
        <f>IF(AND(C35&lt;&gt;"",D35&lt;&gt;""),SQRT(C35^2+D35^2),"")</f>
        <v/>
      </c>
      <c r="F35" s="6" t="n"/>
    </row>
    <row r="36">
      <c r="A36" s="5" t="n">
        <v>25</v>
      </c>
      <c r="B36" s="5" t="n">
        <v>8</v>
      </c>
      <c r="C36" s="5" t="n">
        <v>11</v>
      </c>
      <c r="D36" s="5" t="n">
        <v>-3</v>
      </c>
      <c r="E36" s="5">
        <f>IF(AND(C36&lt;&gt;"",D36&lt;&gt;""),SQRT(C36^2+D36^2),"")</f>
        <v/>
      </c>
      <c r="F36" s="6" t="n"/>
    </row>
    <row r="37">
      <c r="A37" s="5" t="n">
        <v>26</v>
      </c>
      <c r="B37" s="5" t="n">
        <v>6</v>
      </c>
      <c r="C37" s="5" t="n">
        <v>1</v>
      </c>
      <c r="D37" s="5" t="n">
        <v>-1</v>
      </c>
      <c r="E37" s="5">
        <f>IF(AND(C37&lt;&gt;"",D37&lt;&gt;""),SQRT(C37^2+D37^2),"")</f>
        <v/>
      </c>
      <c r="F37" s="6" t="n"/>
    </row>
    <row r="38">
      <c r="A38" s="5" t="n">
        <v>27</v>
      </c>
      <c r="B38" s="5" t="n">
        <v>9</v>
      </c>
      <c r="C38" s="5" t="n">
        <v>11</v>
      </c>
      <c r="D38" s="5" t="n">
        <v>-2</v>
      </c>
      <c r="E38" s="5">
        <f>IF(AND(C38&lt;&gt;"",D38&lt;&gt;""),SQRT(C38^2+D38^2),"")</f>
        <v/>
      </c>
      <c r="F38" s="6" t="n"/>
    </row>
    <row r="40">
      <c r="A40" s="1" t="inlineStr">
        <is>
          <t>Resumen estadístico</t>
        </is>
      </c>
    </row>
    <row r="41">
      <c r="A41" t="inlineStr">
        <is>
          <t>Media e_x (mm)</t>
        </is>
      </c>
      <c r="B41" s="3">
        <f>AVERAGE(C12:C38)</f>
        <v/>
      </c>
    </row>
    <row r="42">
      <c r="A42" t="inlineStr">
        <is>
          <t>Desv. típica e_x (mm)</t>
        </is>
      </c>
      <c r="B42" s="3">
        <f>STDEV(C12:C38)</f>
        <v/>
      </c>
    </row>
    <row r="43">
      <c r="A43" t="inlineStr">
        <is>
          <t>Media e_y (mm)</t>
        </is>
      </c>
      <c r="B43" s="3">
        <f>AVERAGE(D12:D38)</f>
        <v/>
      </c>
    </row>
    <row r="44">
      <c r="A44" t="inlineStr">
        <is>
          <t>Desv. típica e_y (mm)</t>
        </is>
      </c>
      <c r="B44" s="3">
        <f>STDEV(D12:D38)</f>
        <v/>
      </c>
    </row>
    <row r="45">
      <c r="A45" t="inlineStr">
        <is>
          <t>Media e_r (mm)</t>
        </is>
      </c>
      <c r="B45" s="3">
        <f>AVERAGE(E12:E38)</f>
        <v/>
      </c>
    </row>
    <row r="46">
      <c r="A46" t="inlineStr">
        <is>
          <t>Desv. típica e_r (mm)</t>
        </is>
      </c>
      <c r="B46" s="3">
        <f>STDEV(E12:E38)</f>
        <v/>
      </c>
    </row>
    <row r="47">
      <c r="A47" t="inlineStr">
        <is>
          <t>Máx. e_r (mm)</t>
        </is>
      </c>
      <c r="B47" s="3">
        <f>MAX(E12:E38)</f>
        <v/>
      </c>
    </row>
    <row r="48">
      <c r="A48" t="inlineStr">
        <is>
          <t>Media |e_x| (mm)</t>
        </is>
      </c>
      <c r="B48" s="3">
        <f>SUMPRODUCT(ABS(C12:C38))/COUNT(C12:C38)</f>
        <v/>
      </c>
    </row>
    <row r="49">
      <c r="A49" t="inlineStr">
        <is>
          <t>Media |e_y| (mm)</t>
        </is>
      </c>
      <c r="B49" s="3">
        <f>SUMPRODUCT(ABS(D12:D38))/COUNT(D12:D38)</f>
        <v/>
      </c>
    </row>
  </sheetData>
  <mergeCells count="8">
    <mergeCell ref="A2:F2"/>
    <mergeCell ref="B5:D5"/>
    <mergeCell ref="A1:F1"/>
    <mergeCell ref="B8:D8"/>
    <mergeCell ref="B4:D4"/>
    <mergeCell ref="B9:D9"/>
    <mergeCell ref="B7:D7"/>
    <mergeCell ref="B6:D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2026-08-24T15:56:50Z</dcterms:created>
  <dcterms:modified xmlns:dcterms="http://purl.org/dc/terms/" xmlns:xsi="http://www.w3.org/2001/XMLSchema-instance" xsi:type="dcterms:W3CDTF">2026-08-24T22:43:23Z</dcterms:modified>
  <cp:lastModifiedBy>Francisco De Borja Moron Fernandez</cp:lastModifiedBy>
</cp:coreProperties>
</file>