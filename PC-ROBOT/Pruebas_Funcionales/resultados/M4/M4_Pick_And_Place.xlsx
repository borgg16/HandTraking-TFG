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Registro_M4" sheetId="1" state="visible" r:id="rId1"/>
    <sheet xmlns:r="http://schemas.openxmlformats.org/officeDocument/2006/relationships" name="NASA-TLX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FF555555"/>
      <sz val="9"/>
    </font>
    <font>
      <name val="Calibri"/>
      <b val="1"/>
      <sz val="11"/>
    </font>
    <font>
      <name val="Calibri"/>
      <b val="1"/>
      <color rgb="FFFFFFFF"/>
      <sz val="1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9" fontId="0" fillId="0" borderId="1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tabSelected="1" topLeftCell="A8" workbookViewId="0">
      <selection activeCell="J40" sqref="J40"/>
    </sheetView>
  </sheetViews>
  <sheetFormatPr baseColWidth="10" defaultColWidth="8.88671875" defaultRowHeight="14.4"/>
  <cols>
    <col width="44" customWidth="1" style="6" min="1" max="1"/>
    <col width="30" customWidth="1" style="6" min="2" max="2"/>
    <col width="10" customWidth="1" style="6" min="3" max="3"/>
    <col width="14" customWidth="1" style="6" min="4" max="4"/>
    <col width="12" customWidth="1" style="6" min="5" max="6"/>
    <col width="16" customWidth="1" style="6" min="7" max="8"/>
    <col width="18" customWidth="1" style="6" min="9" max="9"/>
    <col width="12" customWidth="1" style="6" min="10" max="11"/>
    <col width="30" customWidth="1" style="6" min="12" max="12"/>
  </cols>
  <sheetData>
    <row r="1" ht="18" customHeight="1" s="6">
      <c r="A1" s="7" t="inlineStr">
        <is>
          <t>Hoja de Registro — M4 Pick-and-Place</t>
        </is>
      </c>
    </row>
    <row r="2">
      <c r="A2" s="5" t="inlineStr">
        <is>
          <t>TFG - Teleoperación XR de RoArm M2 | Universidad de Málaga</t>
        </is>
      </c>
    </row>
    <row r="4">
      <c r="A4" s="1" t="inlineStr">
        <is>
          <t>Fecha:</t>
        </is>
      </c>
      <c r="B4" t="inlineStr">
        <is>
          <t>24-25/08/2026</t>
        </is>
      </c>
    </row>
    <row r="5">
      <c r="A5" s="1" t="inlineStr">
        <is>
          <t>Operador (Quest):</t>
        </is>
      </c>
      <c r="B5" t="inlineStr">
        <is>
          <t>Borja</t>
        </is>
      </c>
    </row>
    <row r="6">
      <c r="A6" s="1" t="inlineStr">
        <is>
          <t>Observador:</t>
        </is>
      </c>
    </row>
    <row r="7">
      <c r="A7" s="1" t="inlineStr">
        <is>
          <t>Familiarización (5 intentos descartados) realizada:</t>
        </is>
      </c>
      <c r="B7" t="inlineStr">
        <is>
          <t>Parcial — un par de intentos de calentamiento con N3 antes de empezar, no las 5 completas del protocolo</t>
        </is>
      </c>
    </row>
    <row r="9" ht="28.8" customHeight="1" s="6">
      <c r="A9" s="2" t="inlineStr">
        <is>
          <t>Nº</t>
        </is>
      </c>
      <c r="B9" s="2" t="inlineStr">
        <is>
          <t>Condición red</t>
        </is>
      </c>
      <c r="C9" s="2" t="inlineStr">
        <is>
          <t>Objeto</t>
        </is>
      </c>
      <c r="D9" s="2" t="inlineStr">
        <is>
          <t>Tiempo compleción (s)</t>
        </is>
      </c>
      <c r="E9" s="2" t="inlineStr">
        <is>
          <t>Agarre OK (0/1)</t>
        </is>
      </c>
      <c r="F9" s="2" t="inlineStr">
        <is>
          <t>Nº intentos agarre</t>
        </is>
      </c>
      <c r="G9" s="2" t="inlineStr">
        <is>
          <t>Nº correcciones</t>
        </is>
      </c>
      <c r="H9" s="2" t="inlineStr">
        <is>
          <t>Error colocación (mm)</t>
        </is>
      </c>
      <c r="I9" s="2" t="inlineStr">
        <is>
          <t>Colisiones</t>
        </is>
      </c>
      <c r="J9" s="2" t="inlineStr">
        <is>
          <t>Tarea OK (0/1)</t>
        </is>
      </c>
      <c r="K9" s="2" t="inlineStr">
        <is>
          <t>Notas</t>
        </is>
      </c>
    </row>
    <row r="10">
      <c r="A10" s="3" t="n">
        <v>1</v>
      </c>
      <c r="B10" s="4" t="inlineStr">
        <is>
          <t>C2_ETHERNET_CLUMSY_CARGA_MEDIA</t>
        </is>
      </c>
      <c r="C10" s="3" t="inlineStr">
        <is>
          <t>N3</t>
        </is>
      </c>
      <c r="D10" s="4" t="inlineStr">
        <is>
          <t>-</t>
        </is>
      </c>
      <c r="E10" s="4" t="n">
        <v>0</v>
      </c>
      <c r="F10" s="4" t="n">
        <v>2</v>
      </c>
      <c r="G10" s="4" t="n">
        <v>184</v>
      </c>
      <c r="H10" s="4" t="inlineStr">
        <is>
          <t>-</t>
        </is>
      </c>
      <c r="I10" s="4" t="n">
        <v>2</v>
      </c>
      <c r="J10" s="4" t="n">
        <v>0</v>
      </c>
      <c r="K10" s="4" t="n"/>
    </row>
    <row r="11">
      <c r="A11" s="3" t="n">
        <v>2</v>
      </c>
      <c r="B11" s="4" t="inlineStr">
        <is>
          <t>C2_ETHERNET_CLUMSY_CARGA_MEDIA</t>
        </is>
      </c>
      <c r="C11" s="3" t="inlineStr">
        <is>
          <t>N3</t>
        </is>
      </c>
      <c r="D11" s="4" t="inlineStr">
        <is>
          <t>-</t>
        </is>
      </c>
      <c r="E11" s="4" t="n">
        <v>0</v>
      </c>
      <c r="F11" s="4" t="n">
        <v>3</v>
      </c>
      <c r="G11" s="4" t="n">
        <v>425</v>
      </c>
      <c r="H11" s="4" t="inlineStr">
        <is>
          <t>-</t>
        </is>
      </c>
      <c r="I11" s="4" t="n">
        <v>2</v>
      </c>
      <c r="J11" s="4" t="n">
        <v>0</v>
      </c>
      <c r="K11" s="4" t="n"/>
    </row>
    <row r="12">
      <c r="A12" s="3" t="n">
        <v>3</v>
      </c>
      <c r="B12" s="4" t="inlineStr">
        <is>
          <t>C2_ETHERNET_CLUMSY_CARGA_MEDIA</t>
        </is>
      </c>
      <c r="C12" s="3" t="inlineStr">
        <is>
          <t>N3</t>
        </is>
      </c>
      <c r="D12" s="4" t="inlineStr">
        <is>
          <t>-</t>
        </is>
      </c>
      <c r="E12" s="4" t="n">
        <v>0</v>
      </c>
      <c r="F12" s="4" t="n">
        <v>2</v>
      </c>
      <c r="G12" s="4" t="n">
        <v>283</v>
      </c>
      <c r="H12" s="4" t="inlineStr">
        <is>
          <t>-</t>
        </is>
      </c>
      <c r="I12" s="4" t="n">
        <v>0</v>
      </c>
      <c r="J12" s="4" t="n">
        <v>0</v>
      </c>
      <c r="K12" s="4" t="n"/>
    </row>
    <row r="13">
      <c r="A13" s="3" t="n">
        <v>4</v>
      </c>
      <c r="B13" s="4" t="inlineStr">
        <is>
          <t>C2_ETHERNET_CLUMSY_CARGA_MEDIA</t>
        </is>
      </c>
      <c r="C13" s="3" t="inlineStr">
        <is>
          <t>N3</t>
        </is>
      </c>
      <c r="D13" s="4" t="inlineStr">
        <is>
          <t>-</t>
        </is>
      </c>
      <c r="E13" s="4" t="n">
        <v>0</v>
      </c>
      <c r="F13" s="4" t="n">
        <v>2</v>
      </c>
      <c r="G13" s="4" t="n">
        <v>220</v>
      </c>
      <c r="H13" s="4" t="inlineStr">
        <is>
          <t>-</t>
        </is>
      </c>
      <c r="I13" s="4" t="n">
        <v>4</v>
      </c>
      <c r="J13" s="4" t="n">
        <v>0</v>
      </c>
      <c r="K13" s="4" t="n"/>
    </row>
    <row r="14">
      <c r="A14" s="3" t="n">
        <v>5</v>
      </c>
      <c r="B14" s="4" t="inlineStr">
        <is>
          <t>C2_ETHERNET_CLUMSY_CARGA_MEDIA</t>
        </is>
      </c>
      <c r="C14" s="3" t="inlineStr">
        <is>
          <t>N3</t>
        </is>
      </c>
      <c r="D14" s="4" t="inlineStr">
        <is>
          <t>-</t>
        </is>
      </c>
      <c r="E14" s="4" t="n">
        <v>0</v>
      </c>
      <c r="F14" s="4" t="n">
        <v>3</v>
      </c>
      <c r="G14" s="4" t="n">
        <v>407</v>
      </c>
      <c r="H14" s="4" t="inlineStr">
        <is>
          <t>-</t>
        </is>
      </c>
      <c r="I14" s="4" t="n">
        <v>3</v>
      </c>
      <c r="J14" s="4" t="n">
        <v>0</v>
      </c>
      <c r="K14" s="4" t="n"/>
    </row>
    <row r="15">
      <c r="A15" s="3" t="n">
        <v>6</v>
      </c>
      <c r="B15" s="4" t="inlineStr">
        <is>
          <t>C2_ETHERNET_CLUMSY_CARGA_MEDIA</t>
        </is>
      </c>
      <c r="C15" s="3" t="inlineStr">
        <is>
          <t>N1</t>
        </is>
      </c>
      <c r="D15" s="4" t="n">
        <v>59</v>
      </c>
      <c r="E15" s="4" t="n">
        <v>1</v>
      </c>
      <c r="F15" s="4" t="n">
        <v>2</v>
      </c>
      <c r="G15" s="4" t="n">
        <v>36</v>
      </c>
      <c r="H15" s="4" t="n">
        <v>0</v>
      </c>
      <c r="I15" s="4" t="n">
        <v>0</v>
      </c>
      <c r="J15" s="4" t="n">
        <v>1</v>
      </c>
      <c r="K15" s="4" t="n"/>
    </row>
    <row r="16">
      <c r="A16" s="3" t="n">
        <v>7</v>
      </c>
      <c r="B16" s="4" t="inlineStr">
        <is>
          <t>C2_ETHERNET_CLUMSY_CARGA_MEDIA</t>
        </is>
      </c>
      <c r="C16" s="3" t="inlineStr">
        <is>
          <t>N1</t>
        </is>
      </c>
      <c r="D16" s="4" t="n">
        <v>60</v>
      </c>
      <c r="E16" s="4" t="n">
        <v>1</v>
      </c>
      <c r="F16" s="4" t="n">
        <v>2</v>
      </c>
      <c r="G16" s="4" t="n">
        <v>71</v>
      </c>
      <c r="H16" s="4" t="n">
        <v>50</v>
      </c>
      <c r="I16" s="4" t="n">
        <v>0</v>
      </c>
      <c r="J16" s="4" t="n">
        <v>1</v>
      </c>
      <c r="K16" s="4" t="n"/>
    </row>
    <row r="17">
      <c r="A17" s="3" t="n">
        <v>8</v>
      </c>
      <c r="B17" s="4" t="inlineStr">
        <is>
          <t>C2_ETHERNET_CLUMSY_CARGA_MEDIA</t>
        </is>
      </c>
      <c r="C17" s="3" t="inlineStr">
        <is>
          <t>N1</t>
        </is>
      </c>
      <c r="D17" s="4" t="n">
        <v>35</v>
      </c>
      <c r="E17" s="4" t="n">
        <v>1</v>
      </c>
      <c r="F17" s="4" t="n">
        <v>1</v>
      </c>
      <c r="G17" s="4" t="n">
        <v>167</v>
      </c>
      <c r="H17" s="4" t="n">
        <v>10</v>
      </c>
      <c r="I17" s="4" t="n">
        <v>0</v>
      </c>
      <c r="J17" s="4" t="n">
        <v>1</v>
      </c>
      <c r="K17" s="4" t="n"/>
    </row>
    <row r="18">
      <c r="A18" s="3" t="n">
        <v>9</v>
      </c>
      <c r="B18" s="4" t="inlineStr">
        <is>
          <t>C2_ETHERNET_CLUMSY_CARGA_MEDIA</t>
        </is>
      </c>
      <c r="C18" s="3" t="inlineStr">
        <is>
          <t>N1</t>
        </is>
      </c>
      <c r="D18" s="4" t="n">
        <v>42</v>
      </c>
      <c r="E18" s="4" t="n">
        <v>1</v>
      </c>
      <c r="F18" s="4" t="n">
        <v>2</v>
      </c>
      <c r="G18" s="4" t="n">
        <v>39</v>
      </c>
      <c r="H18" s="4" t="n">
        <v>10</v>
      </c>
      <c r="I18" s="4" t="n">
        <v>0</v>
      </c>
      <c r="J18" s="4" t="n">
        <v>1</v>
      </c>
      <c r="K18" s="4" t="n"/>
    </row>
    <row r="19">
      <c r="A19" s="3" t="n">
        <v>10</v>
      </c>
      <c r="B19" s="4" t="inlineStr">
        <is>
          <t>C2_ETHERNET_CLUMSY_CARGA_MEDIA</t>
        </is>
      </c>
      <c r="C19" s="3" t="inlineStr">
        <is>
          <t>N1</t>
        </is>
      </c>
      <c r="D19" s="4" t="n">
        <v>28</v>
      </c>
      <c r="E19" s="4" t="n">
        <v>1</v>
      </c>
      <c r="F19" s="4" t="n">
        <v>1</v>
      </c>
      <c r="G19" s="4" t="n">
        <v>50</v>
      </c>
      <c r="H19" s="4" t="n">
        <v>0</v>
      </c>
      <c r="I19" s="4" t="n">
        <v>0</v>
      </c>
      <c r="J19" s="4" t="n">
        <v>1</v>
      </c>
      <c r="K19" s="4" t="n"/>
    </row>
    <row r="20">
      <c r="A20" s="3" t="n">
        <v>11</v>
      </c>
      <c r="B20" s="4" t="inlineStr">
        <is>
          <t>C1_ETHERNET_SIN_CARGA</t>
        </is>
      </c>
      <c r="C20" s="3" t="inlineStr">
        <is>
          <t>N1</t>
        </is>
      </c>
      <c r="D20" s="4" t="n">
        <v>33</v>
      </c>
      <c r="E20" s="4" t="n">
        <v>1</v>
      </c>
      <c r="F20" s="4" t="n">
        <v>1</v>
      </c>
      <c r="G20" s="4" t="n">
        <v>55</v>
      </c>
      <c r="H20" s="4" t="n">
        <v>11</v>
      </c>
      <c r="I20" s="4" t="n">
        <v>0</v>
      </c>
      <c r="J20" s="4" t="n">
        <v>1</v>
      </c>
      <c r="K20" s="4" t="n"/>
    </row>
    <row r="21">
      <c r="A21" s="3" t="n">
        <v>12</v>
      </c>
      <c r="B21" s="4" t="inlineStr">
        <is>
          <t>C1_ETHERNET_SIN_CARGA</t>
        </is>
      </c>
      <c r="C21" s="3" t="inlineStr">
        <is>
          <t>N1</t>
        </is>
      </c>
      <c r="D21" s="4" t="n">
        <v>20</v>
      </c>
      <c r="E21" s="4" t="n">
        <v>1</v>
      </c>
      <c r="F21" s="4" t="n">
        <v>1</v>
      </c>
      <c r="G21" s="4" t="n">
        <v>40</v>
      </c>
      <c r="H21" s="4" t="n">
        <v>18</v>
      </c>
      <c r="I21" s="4" t="n">
        <v>0</v>
      </c>
      <c r="J21" s="4" t="n">
        <v>1</v>
      </c>
      <c r="K21" s="4" t="n"/>
    </row>
    <row r="22">
      <c r="A22" s="3" t="n">
        <v>13</v>
      </c>
      <c r="B22" s="4" t="inlineStr">
        <is>
          <t>C1_ETHERNET_SIN_CARGA</t>
        </is>
      </c>
      <c r="C22" s="3" t="inlineStr">
        <is>
          <t>N1</t>
        </is>
      </c>
      <c r="D22" s="4" t="n">
        <v>37</v>
      </c>
      <c r="E22" s="4" t="n">
        <v>1</v>
      </c>
      <c r="F22" s="4" t="n">
        <v>2</v>
      </c>
      <c r="G22" s="4" t="n">
        <v>37</v>
      </c>
      <c r="H22" s="4" t="n">
        <v>27</v>
      </c>
      <c r="I22" s="4" t="n">
        <v>0</v>
      </c>
      <c r="J22" s="4" t="n">
        <v>1</v>
      </c>
      <c r="K22" s="4" t="n"/>
    </row>
    <row r="23">
      <c r="A23" s="3" t="n">
        <v>14</v>
      </c>
      <c r="B23" s="4" t="inlineStr">
        <is>
          <t>C1_ETHERNET_SIN_CARGA</t>
        </is>
      </c>
      <c r="C23" s="3" t="inlineStr">
        <is>
          <t>N1</t>
        </is>
      </c>
      <c r="D23" s="4" t="n">
        <v>27</v>
      </c>
      <c r="E23" s="4" t="n">
        <v>1</v>
      </c>
      <c r="F23" s="4" t="n">
        <v>1</v>
      </c>
      <c r="G23" s="4" t="n">
        <v>41</v>
      </c>
      <c r="H23" s="4" t="n">
        <v>18</v>
      </c>
      <c r="I23" s="4" t="n">
        <v>0</v>
      </c>
      <c r="J23" s="4" t="n">
        <v>1</v>
      </c>
      <c r="K23" s="4" t="n"/>
    </row>
    <row r="24">
      <c r="A24" s="3" t="n">
        <v>15</v>
      </c>
      <c r="B24" s="4" t="inlineStr">
        <is>
          <t>C1_ETHERNET_SIN_CARGA</t>
        </is>
      </c>
      <c r="C24" s="3" t="inlineStr">
        <is>
          <t>N1</t>
        </is>
      </c>
      <c r="D24" s="4" t="n">
        <v>34</v>
      </c>
      <c r="E24" s="4" t="n">
        <v>1</v>
      </c>
      <c r="F24" s="4" t="n">
        <v>1</v>
      </c>
      <c r="G24" s="4" t="n">
        <v>36</v>
      </c>
      <c r="H24" s="4" t="n">
        <v>11</v>
      </c>
      <c r="I24" s="4" t="n">
        <v>0</v>
      </c>
      <c r="J24" s="4" t="n">
        <v>1</v>
      </c>
      <c r="K24" s="4" t="n"/>
    </row>
    <row r="25">
      <c r="A25" s="3" t="n">
        <v>16</v>
      </c>
      <c r="B25" s="4" t="inlineStr">
        <is>
          <t>C1_ETHERNET_SIN_CARGA</t>
        </is>
      </c>
      <c r="C25" s="3" t="inlineStr">
        <is>
          <t>N3</t>
        </is>
      </c>
      <c r="D25" s="4" t="inlineStr">
        <is>
          <t>-</t>
        </is>
      </c>
      <c r="E25" s="4" t="n">
        <v>0</v>
      </c>
      <c r="F25" s="4" t="n">
        <v>4</v>
      </c>
      <c r="G25" s="4" t="n">
        <v>63</v>
      </c>
      <c r="H25" s="4" t="inlineStr">
        <is>
          <t>-</t>
        </is>
      </c>
      <c r="I25" s="4" t="n">
        <v>4</v>
      </c>
      <c r="J25" s="4" t="n">
        <v>0</v>
      </c>
      <c r="K25" s="4" t="n"/>
    </row>
    <row r="26">
      <c r="A26" s="3" t="n">
        <v>17</v>
      </c>
      <c r="B26" s="4" t="inlineStr">
        <is>
          <t>C1_ETHERNET_SIN_CARGA</t>
        </is>
      </c>
      <c r="C26" s="3" t="inlineStr">
        <is>
          <t>N3</t>
        </is>
      </c>
      <c r="D26" s="4" t="inlineStr">
        <is>
          <t>-</t>
        </is>
      </c>
      <c r="E26" s="4" t="n">
        <v>0</v>
      </c>
      <c r="F26" s="4" t="n">
        <v>3</v>
      </c>
      <c r="G26" s="4" t="n">
        <v>141</v>
      </c>
      <c r="H26" s="4" t="inlineStr">
        <is>
          <t>-</t>
        </is>
      </c>
      <c r="I26" s="4" t="n">
        <v>3</v>
      </c>
      <c r="J26" s="4" t="n">
        <v>0</v>
      </c>
      <c r="K26" s="4" t="n"/>
    </row>
    <row r="27">
      <c r="A27" s="3" t="n">
        <v>18</v>
      </c>
      <c r="B27" s="4" t="inlineStr">
        <is>
          <t>C1_ETHERNET_SIN_CARGA</t>
        </is>
      </c>
      <c r="C27" s="3" t="inlineStr">
        <is>
          <t>N3</t>
        </is>
      </c>
      <c r="D27" s="4" t="inlineStr">
        <is>
          <t>-</t>
        </is>
      </c>
      <c r="E27" s="4" t="n">
        <v>0</v>
      </c>
      <c r="F27" s="4" t="n">
        <v>4</v>
      </c>
      <c r="G27" s="4" t="n">
        <v>200</v>
      </c>
      <c r="H27" s="4" t="inlineStr">
        <is>
          <t>-</t>
        </is>
      </c>
      <c r="I27" s="4" t="n">
        <v>4</v>
      </c>
      <c r="J27" s="4" t="n">
        <v>0</v>
      </c>
      <c r="K27" s="4" t="n"/>
    </row>
    <row r="28">
      <c r="A28" s="3" t="n">
        <v>19</v>
      </c>
      <c r="B28" s="4" t="inlineStr">
        <is>
          <t>C1_ETHERNET_SIN_CARGA</t>
        </is>
      </c>
      <c r="C28" s="3" t="inlineStr">
        <is>
          <t>N3</t>
        </is>
      </c>
      <c r="D28" s="4" t="inlineStr">
        <is>
          <t>-</t>
        </is>
      </c>
      <c r="E28" s="4" t="n">
        <v>0</v>
      </c>
      <c r="F28" s="4" t="n">
        <v>4</v>
      </c>
      <c r="G28" s="4" t="n">
        <v>228</v>
      </c>
      <c r="H28" s="4" t="inlineStr">
        <is>
          <t>-</t>
        </is>
      </c>
      <c r="I28" s="4" t="n">
        <v>4</v>
      </c>
      <c r="J28" s="4" t="n">
        <v>0</v>
      </c>
      <c r="K28" s="4" t="n"/>
    </row>
    <row r="29">
      <c r="A29" s="3" t="n">
        <v>20</v>
      </c>
      <c r="B29" s="4" t="inlineStr">
        <is>
          <t>C1_ETHERNET_SIN_CARGA</t>
        </is>
      </c>
      <c r="C29" s="3" t="inlineStr">
        <is>
          <t>N3</t>
        </is>
      </c>
      <c r="D29" s="4" t="inlineStr">
        <is>
          <t>-</t>
        </is>
      </c>
      <c r="E29" s="4" t="n">
        <v>0</v>
      </c>
      <c r="F29" s="4" t="n">
        <v>2</v>
      </c>
      <c r="G29" s="4" t="n">
        <v>256</v>
      </c>
      <c r="H29" s="4" t="inlineStr">
        <is>
          <t>-</t>
        </is>
      </c>
      <c r="I29" s="4" t="n">
        <v>2</v>
      </c>
      <c r="J29" s="4" t="n">
        <v>0</v>
      </c>
      <c r="K29" s="4" t="inlineStr">
        <is>
          <t>calibrar</t>
        </is>
      </c>
    </row>
    <row r="30">
      <c r="A30" s="3" t="n">
        <v>21</v>
      </c>
      <c r="B30" s="4" t="inlineStr">
        <is>
          <t>C3_ETHERNET_CLUMSY_CARGA_ALTA</t>
        </is>
      </c>
      <c r="C30" s="3" t="inlineStr">
        <is>
          <t>N3</t>
        </is>
      </c>
      <c r="D30" s="4" t="inlineStr">
        <is>
          <t>-</t>
        </is>
      </c>
      <c r="E30" s="4" t="n">
        <v>0</v>
      </c>
      <c r="F30" s="4" t="n">
        <v>4</v>
      </c>
      <c r="G30" s="4" t="n">
        <v>167</v>
      </c>
      <c r="H30" s="4" t="inlineStr">
        <is>
          <t>-</t>
        </is>
      </c>
      <c r="I30" s="4" t="n">
        <v>3</v>
      </c>
      <c r="J30" s="4" t="n">
        <v>0</v>
      </c>
      <c r="K30" s="4" t="n"/>
    </row>
    <row r="31">
      <c r="A31" s="3" t="n">
        <v>22</v>
      </c>
      <c r="B31" s="4" t="inlineStr">
        <is>
          <t>C3_ETHERNET_CLUMSY_CARGA_ALTA</t>
        </is>
      </c>
      <c r="C31" s="3" t="inlineStr">
        <is>
          <t>N3</t>
        </is>
      </c>
      <c r="D31" s="4" t="inlineStr">
        <is>
          <t>-</t>
        </is>
      </c>
      <c r="E31" s="4" t="n">
        <v>0</v>
      </c>
      <c r="F31" s="4" t="n">
        <v>3</v>
      </c>
      <c r="G31" s="4" t="n">
        <v>261</v>
      </c>
      <c r="H31" s="4" t="inlineStr">
        <is>
          <t>-</t>
        </is>
      </c>
      <c r="I31" s="4" t="n">
        <v>2</v>
      </c>
      <c r="J31" s="4" t="n">
        <v>0</v>
      </c>
      <c r="K31" s="4" t="n"/>
    </row>
    <row r="32">
      <c r="A32" s="3" t="n">
        <v>23</v>
      </c>
      <c r="B32" s="4" t="inlineStr">
        <is>
          <t>C3_ETHERNET_CLUMSY_CARGA_ALTA</t>
        </is>
      </c>
      <c r="C32" s="3" t="inlineStr">
        <is>
          <t>N3</t>
        </is>
      </c>
      <c r="D32" s="4" t="inlineStr">
        <is>
          <t>-</t>
        </is>
      </c>
      <c r="E32" s="4" t="n">
        <v>0</v>
      </c>
      <c r="F32" s="4" t="n">
        <v>3</v>
      </c>
      <c r="G32" s="4" t="n">
        <v>196</v>
      </c>
      <c r="H32" s="4" t="inlineStr">
        <is>
          <t>-</t>
        </is>
      </c>
      <c r="I32" s="4" t="n">
        <v>3</v>
      </c>
      <c r="J32" s="4" t="n">
        <v>0</v>
      </c>
      <c r="K32" s="4" t="n"/>
    </row>
    <row r="33">
      <c r="A33" s="3" t="n">
        <v>24</v>
      </c>
      <c r="B33" s="4" t="inlineStr">
        <is>
          <t>C3_ETHERNET_CLUMSY_CARGA_ALTA</t>
        </is>
      </c>
      <c r="C33" s="3" t="inlineStr">
        <is>
          <t>N3</t>
        </is>
      </c>
      <c r="D33" s="4" t="inlineStr">
        <is>
          <t>-</t>
        </is>
      </c>
      <c r="E33" s="4" t="n">
        <v>0</v>
      </c>
      <c r="F33" s="4" t="n">
        <v>4</v>
      </c>
      <c r="G33" s="4" t="n">
        <v>188</v>
      </c>
      <c r="H33" s="4" t="inlineStr">
        <is>
          <t>-</t>
        </is>
      </c>
      <c r="I33" s="4" t="n">
        <v>1</v>
      </c>
      <c r="J33" s="4" t="n">
        <v>0</v>
      </c>
      <c r="K33" s="4" t="n"/>
    </row>
    <row r="34">
      <c r="A34" s="3" t="n">
        <v>25</v>
      </c>
      <c r="B34" s="4" t="inlineStr">
        <is>
          <t>C3_ETHERNET_CLUMSY_CARGA_ALTA</t>
        </is>
      </c>
      <c r="C34" s="3" t="inlineStr">
        <is>
          <t>N3</t>
        </is>
      </c>
      <c r="D34" s="4" t="inlineStr">
        <is>
          <t>-</t>
        </is>
      </c>
      <c r="E34" s="4" t="n">
        <v>0</v>
      </c>
      <c r="F34" s="4" t="n">
        <v>4</v>
      </c>
      <c r="G34" s="4" t="n">
        <v>295</v>
      </c>
      <c r="H34" s="4" t="inlineStr">
        <is>
          <t>-</t>
        </is>
      </c>
      <c r="I34" s="4" t="n">
        <v>3</v>
      </c>
      <c r="J34" s="4" t="n">
        <v>0</v>
      </c>
      <c r="K34" s="4" t="n"/>
    </row>
    <row r="35">
      <c r="A35" s="3" t="n">
        <v>26</v>
      </c>
      <c r="B35" s="4" t="inlineStr">
        <is>
          <t>C3_ETHERNET_CLUMSY_CARGA_ALTA</t>
        </is>
      </c>
      <c r="C35" s="3" t="inlineStr">
        <is>
          <t>N1</t>
        </is>
      </c>
      <c r="D35" s="4" t="n">
        <v>56</v>
      </c>
      <c r="E35" s="4" t="n">
        <v>1</v>
      </c>
      <c r="F35" s="4" t="n">
        <v>2</v>
      </c>
      <c r="G35" s="4" t="n">
        <v>196</v>
      </c>
      <c r="H35" s="4" t="n">
        <v>7</v>
      </c>
      <c r="I35" s="4" t="n">
        <v>0</v>
      </c>
      <c r="J35" s="4" t="n">
        <v>1</v>
      </c>
      <c r="K35" s="4" t="n"/>
    </row>
    <row r="36">
      <c r="A36" s="3" t="n">
        <v>27</v>
      </c>
      <c r="B36" s="4" t="inlineStr">
        <is>
          <t>C3_ETHERNET_CLUMSY_CARGA_ALTA</t>
        </is>
      </c>
      <c r="C36" s="3" t="inlineStr">
        <is>
          <t>N1</t>
        </is>
      </c>
      <c r="D36" s="4" t="n">
        <v>38</v>
      </c>
      <c r="E36" s="4" t="n">
        <v>1</v>
      </c>
      <c r="F36" s="4" t="n">
        <v>2</v>
      </c>
      <c r="G36" s="4" t="n">
        <v>156</v>
      </c>
      <c r="H36" s="4" t="n">
        <v>31</v>
      </c>
      <c r="I36" s="4" t="n">
        <v>0</v>
      </c>
      <c r="J36" s="4" t="n">
        <v>1</v>
      </c>
      <c r="K36" s="4" t="n"/>
    </row>
    <row r="37">
      <c r="A37" s="3" t="n">
        <v>28</v>
      </c>
      <c r="B37" s="4" t="inlineStr">
        <is>
          <t>C3_ETHERNET_CLUMSY_CARGA_ALTA</t>
        </is>
      </c>
      <c r="C37" s="3" t="inlineStr">
        <is>
          <t>N1</t>
        </is>
      </c>
      <c r="D37" s="4" t="n">
        <v>37</v>
      </c>
      <c r="E37" s="4" t="n">
        <v>1</v>
      </c>
      <c r="F37" s="4" t="n">
        <v>2</v>
      </c>
      <c r="G37" s="4" t="n">
        <v>115</v>
      </c>
      <c r="H37" s="4" t="n">
        <v>20</v>
      </c>
      <c r="I37" s="4" t="n">
        <v>0</v>
      </c>
      <c r="J37" s="4" t="n">
        <v>1</v>
      </c>
      <c r="K37" s="4" t="n"/>
    </row>
    <row r="38">
      <c r="A38" s="3" t="n">
        <v>29</v>
      </c>
      <c r="B38" s="4" t="inlineStr">
        <is>
          <t>C3_ETHERNET_CLUMSY_CARGA_ALTA</t>
        </is>
      </c>
      <c r="C38" s="3" t="inlineStr">
        <is>
          <t>N1</t>
        </is>
      </c>
      <c r="D38" s="4" t="n">
        <v>52</v>
      </c>
      <c r="E38" s="4" t="n">
        <v>1</v>
      </c>
      <c r="F38" s="4" t="n">
        <v>3</v>
      </c>
      <c r="G38" s="4" t="n">
        <v>179</v>
      </c>
      <c r="H38" s="4" t="n">
        <v>5</v>
      </c>
      <c r="I38" s="4" t="n">
        <v>0</v>
      </c>
      <c r="J38" s="4" t="n">
        <v>1</v>
      </c>
      <c r="K38" s="4" t="n"/>
    </row>
    <row r="39">
      <c r="A39" s="3" t="n">
        <v>30</v>
      </c>
      <c r="B39" s="4" t="inlineStr">
        <is>
          <t>C3_ETHERNET_CLUMSY_CARGA_ALTA</t>
        </is>
      </c>
      <c r="C39" s="3" t="inlineStr">
        <is>
          <t>N1</t>
        </is>
      </c>
      <c r="D39" s="4" t="inlineStr">
        <is>
          <t>-</t>
        </is>
      </c>
      <c r="E39" s="4" t="n">
        <v>1</v>
      </c>
      <c r="F39" s="4" t="n">
        <v>5</v>
      </c>
      <c r="G39" s="4" t="n">
        <v>40</v>
      </c>
      <c r="H39" s="4" t="inlineStr">
        <is>
          <t>-</t>
        </is>
      </c>
      <c r="I39" s="4" t="n">
        <v>0</v>
      </c>
      <c r="J39" s="4" t="n">
        <v>0</v>
      </c>
      <c r="K39" s="4" t="n"/>
    </row>
    <row r="40" ht="95" customHeight="1" s="6">
      <c r="A40" s="9" t="inlineStr">
        <is>
          <t>Notas: (1) "-" indica que no aplica, no que el valor sea 0; se usa en Tiempo de compleción y Error de colocación cuando el intento no llegó a un evento de colocación medible (agarre fallido, o el objeto se cayó/perdió durante el transporte, p. ej. Nº 30). Las fórmulas AVERAGEIFS del resumen ignoran automáticamente estas celdas de texto. (2) "Nº correcciones" (25/08/2026): calculado con contador_correcciones.py (cambios de signo de la derivada en el eje dominante) sobre los CSV partidos por intento (N1_intentoN/N3_intentoN), generados aparte porque durante la sesión no se reinició la conexión entre cada intento y el CSV continuo no distinguía uno de otro (ver §10.9bis). El orden intento1..5 de esos CSV es cronológico y se ha emparejado en ese mismo orden con las filas de cada bloque objeto×condición; el recorte de cada intento es aproximado (puede incluir algo de margen antes o después del intento oficial), así que el número es una estimación de buena fe, no una medida perfectamente acotada al intento exacto.</t>
        </is>
      </c>
    </row>
    <row r="41">
      <c r="A41" s="1" t="inlineStr">
        <is>
          <t>Resumen por condición × objeto</t>
        </is>
      </c>
    </row>
    <row r="42" ht="28.8" customHeight="1" s="6">
      <c r="A42" s="2" t="inlineStr">
        <is>
          <t>Condición</t>
        </is>
      </c>
      <c r="B42" s="2" t="inlineStr">
        <is>
          <t>Objeto</t>
        </is>
      </c>
      <c r="C42" s="2" t="inlineStr">
        <is>
          <t>N</t>
        </is>
      </c>
      <c r="D42" s="2" t="inlineStr">
        <is>
          <t>Media tiempo (s)</t>
        </is>
      </c>
      <c r="E42" s="2" t="inlineStr">
        <is>
          <t>Tasa éxito agarre</t>
        </is>
      </c>
      <c r="F42" s="2" t="inlineStr">
        <is>
          <t>Media correcciones</t>
        </is>
      </c>
      <c r="G42" s="2" t="inlineStr">
        <is>
          <t>Media error colocación (mm)</t>
        </is>
      </c>
      <c r="H42" s="2" t="inlineStr">
        <is>
          <t>Tasa éxito tarea</t>
        </is>
      </c>
    </row>
    <row r="43">
      <c r="A43" s="4" t="inlineStr">
        <is>
          <t>C1_ETHERNET_SIN_CARGA</t>
        </is>
      </c>
      <c r="B43" s="4" t="inlineStr">
        <is>
          <t>N1</t>
        </is>
      </c>
      <c r="C43" s="3">
        <f>COUNTIFS(B10:B39,A43,C10:C39,B43)</f>
        <v/>
      </c>
      <c r="D43" s="3">
        <f>AVERAGEIFS(D10:D39,B10:B39,A43,C10:C39,B43)</f>
        <v/>
      </c>
      <c r="E43" s="3">
        <f>AVERAGEIFS(E10:E39,B10:B39,A43,C10:C39,B43)</f>
        <v/>
      </c>
      <c r="F43" s="3">
        <f>AVERAGEIFS(G10:G39,B10:B39,A43,C10:C39,B43)</f>
        <v/>
      </c>
      <c r="G43" s="3">
        <f>AVERAGEIFS(H10:H39,B10:B39,A43,C10:C39,B43)</f>
        <v/>
      </c>
      <c r="H43" s="3">
        <f>AVERAGEIFS(J10:J39,B10:B39,A43,C10:C39,B43)</f>
        <v/>
      </c>
    </row>
    <row r="44">
      <c r="A44" s="4" t="inlineStr">
        <is>
          <t>C1_ETHERNET_SIN_CARGA</t>
        </is>
      </c>
      <c r="B44" s="4" t="inlineStr">
        <is>
          <t>N3</t>
        </is>
      </c>
      <c r="C44" s="3">
        <f>COUNTIFS(B10:B39,A44,C10:C39,B44)</f>
        <v/>
      </c>
      <c r="D44" s="3">
        <f>AVERAGEIFS(D10:D39,B10:B39,A44,C10:C39,B44)</f>
        <v/>
      </c>
      <c r="E44" s="3">
        <f>AVERAGEIFS(E10:E39,B10:B39,A44,C10:C39,B44)</f>
        <v/>
      </c>
      <c r="F44" s="3">
        <f>AVERAGEIFS(G10:G39,B10:B39,A44,C10:C39,B44)</f>
        <v/>
      </c>
      <c r="G44" s="3">
        <f>AVERAGEIFS(H10:H39,B10:B39,A44,C10:C39,B44)</f>
        <v/>
      </c>
      <c r="H44" s="3">
        <f>AVERAGEIFS(J10:J39,B10:B39,A44,C10:C39,B44)</f>
        <v/>
      </c>
    </row>
    <row r="45">
      <c r="A45" s="4" t="inlineStr">
        <is>
          <t>C2_ETHERNET_CLUMSY_CARGA_MEDIA</t>
        </is>
      </c>
      <c r="B45" s="4" t="inlineStr">
        <is>
          <t>N1</t>
        </is>
      </c>
      <c r="C45" s="3">
        <f>COUNTIFS(B10:B39,A45,C10:C39,B45)</f>
        <v/>
      </c>
      <c r="D45" s="3">
        <f>AVERAGEIFS(D10:D39,B10:B39,A45,C10:C39,B45)</f>
        <v/>
      </c>
      <c r="E45" s="3">
        <f>AVERAGEIFS(E10:E39,B10:B39,A45,C10:C39,B45)</f>
        <v/>
      </c>
      <c r="F45" s="3">
        <f>AVERAGEIFS(G10:G39,B10:B39,A45,C10:C39,B45)</f>
        <v/>
      </c>
      <c r="G45" s="3">
        <f>AVERAGEIFS(H10:H39,B10:B39,A45,C10:C39,B45)</f>
        <v/>
      </c>
      <c r="H45" s="3">
        <f>AVERAGEIFS(J10:J39,B10:B39,A45,C10:C39,B45)</f>
        <v/>
      </c>
    </row>
    <row r="46">
      <c r="A46" s="4" t="inlineStr">
        <is>
          <t>C2_ETHERNET_CLUMSY_CARGA_MEDIA</t>
        </is>
      </c>
      <c r="B46" s="4" t="inlineStr">
        <is>
          <t>N3</t>
        </is>
      </c>
      <c r="C46" s="3">
        <f>COUNTIFS(B10:B39,A46,C10:C39,B46)</f>
        <v/>
      </c>
      <c r="D46" s="3">
        <f>AVERAGEIFS(D10:D39,B10:B39,A46,C10:C39,B46)</f>
        <v/>
      </c>
      <c r="E46" s="3">
        <f>AVERAGEIFS(E10:E39,B10:B39,A46,C10:C39,B46)</f>
        <v/>
      </c>
      <c r="F46" s="3">
        <f>AVERAGEIFS(G10:G39,B10:B39,A46,C10:C39,B46)</f>
        <v/>
      </c>
      <c r="G46" s="3">
        <f>AVERAGEIFS(H10:H39,B10:B39,A46,C10:C39,B46)</f>
        <v/>
      </c>
      <c r="H46" s="3">
        <f>AVERAGEIFS(J10:J39,B10:B39,A46,C10:C39,B46)</f>
        <v/>
      </c>
    </row>
    <row r="47">
      <c r="A47" s="4" t="inlineStr">
        <is>
          <t>C3_ETHERNET_CLUMSY_CARGA_ALTA</t>
        </is>
      </c>
      <c r="B47" s="4" t="inlineStr">
        <is>
          <t>N1</t>
        </is>
      </c>
      <c r="C47" s="3">
        <f>COUNTIFS(B10:B39,A47,C10:C39,B47)</f>
        <v/>
      </c>
      <c r="D47" s="3">
        <f>AVERAGEIFS(D10:D39,B10:B39,A47,C10:C39,B47)</f>
        <v/>
      </c>
      <c r="E47" s="3">
        <f>AVERAGEIFS(E10:E39,B10:B39,A47,C10:C39,B47)</f>
        <v/>
      </c>
      <c r="F47" s="3">
        <f>AVERAGEIFS(G10:G39,B10:B39,A47,C10:C39,B47)</f>
        <v/>
      </c>
      <c r="G47" s="3">
        <f>AVERAGEIFS(H10:H39,B10:B39,A47,C10:C39,B47)</f>
        <v/>
      </c>
      <c r="H47" s="3">
        <f>AVERAGEIFS(J10:J39,B10:B39,A47,C10:C39,B47)</f>
        <v/>
      </c>
    </row>
    <row r="48">
      <c r="A48" s="4" t="inlineStr">
        <is>
          <t>C3_ETHERNET_CLUMSY_CARGA_ALTA</t>
        </is>
      </c>
      <c r="B48" s="4" t="inlineStr">
        <is>
          <t>N3</t>
        </is>
      </c>
      <c r="C48" s="3">
        <f>COUNTIFS(B10:B39,A48,C10:C39,B48)</f>
        <v/>
      </c>
      <c r="D48" s="3">
        <f>AVERAGEIFS(D10:D39,B10:B39,A48,C10:C39,B48)</f>
        <v/>
      </c>
      <c r="E48" s="3">
        <f>AVERAGEIFS(E10:E39,B10:B39,A48,C10:C39,B48)</f>
        <v/>
      </c>
      <c r="F48" s="3">
        <f>AVERAGEIFS(G10:G39,B10:B39,A48,C10:C39,B48)</f>
        <v/>
      </c>
      <c r="G48" s="3">
        <f>AVERAGEIFS(H10:H39,B10:B39,A48,C10:C39,B48)</f>
        <v/>
      </c>
      <c r="H48" s="3">
        <f>AVERAGEIFS(J10:J39,B10:B39,A48,C10:C39,B48)</f>
        <v/>
      </c>
    </row>
  </sheetData>
  <mergeCells count="7">
    <mergeCell ref="A2:L2"/>
    <mergeCell ref="B5:D5"/>
    <mergeCell ref="A1:L1"/>
    <mergeCell ref="B4:D4"/>
    <mergeCell ref="B7:D7"/>
    <mergeCell ref="B6:D6"/>
    <mergeCell ref="A40:K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D10" sqref="D10"/>
    </sheetView>
  </sheetViews>
  <sheetFormatPr baseColWidth="10" defaultColWidth="8.88671875" defaultRowHeight="14.4"/>
  <cols>
    <col width="26" customWidth="1" style="6" min="1" max="1"/>
    <col width="30" customWidth="1" style="6" min="2" max="4"/>
  </cols>
  <sheetData>
    <row r="1" ht="18" customHeight="1" s="6">
      <c r="A1" s="7" t="inlineStr">
        <is>
          <t>NASA-TLX raw — por bloque de condición de red</t>
        </is>
      </c>
    </row>
    <row r="2"/>
    <row r="3" ht="28.8" customHeight="1" s="6">
      <c r="A3" s="2" t="inlineStr">
        <is>
          <t>Dimensión (0-100)</t>
        </is>
      </c>
      <c r="B3" s="2" t="inlineStr">
        <is>
          <t>C1_ETHERNET_SIN_CARGA</t>
        </is>
      </c>
      <c r="C3" s="2" t="inlineStr">
        <is>
          <t>C2_ETHERNET_CLUMSY_CARGA_MEDIA</t>
        </is>
      </c>
      <c r="D3" s="2" t="inlineStr">
        <is>
          <t>C3_ETHERNET_CLUMSY_CARGA_ALTA</t>
        </is>
      </c>
    </row>
    <row r="4">
      <c r="A4" s="4" t="inlineStr">
        <is>
          <t>Demanda mental</t>
        </is>
      </c>
      <c r="B4" s="8" t="n">
        <v>0.55</v>
      </c>
      <c r="C4" s="8" t="n">
        <v>0.75</v>
      </c>
      <c r="D4" s="8" t="n">
        <v>0.8</v>
      </c>
    </row>
    <row r="5">
      <c r="A5" s="4" t="inlineStr">
        <is>
          <t>Demanda física</t>
        </is>
      </c>
      <c r="B5" s="8" t="n">
        <v>0.6</v>
      </c>
      <c r="C5" s="8" t="n">
        <v>0.75</v>
      </c>
      <c r="D5" s="8" t="n">
        <v>0.8</v>
      </c>
    </row>
    <row r="6">
      <c r="A6" s="4" t="inlineStr">
        <is>
          <t>Demanda temporal</t>
        </is>
      </c>
      <c r="B6" s="8" t="n">
        <v>0.5</v>
      </c>
      <c r="C6" s="8" t="n">
        <v>0.65</v>
      </c>
      <c r="D6" s="8" t="n">
        <v>0.9</v>
      </c>
    </row>
    <row r="7">
      <c r="A7" s="4" t="inlineStr">
        <is>
          <t>Rendimiento (invertido)</t>
        </is>
      </c>
      <c r="B7" s="8" t="n">
        <v>0.2</v>
      </c>
      <c r="C7" s="8" t="n">
        <v>0.5</v>
      </c>
      <c r="D7" s="8" t="n">
        <v>0.3</v>
      </c>
    </row>
    <row r="8">
      <c r="A8" s="4" t="inlineStr">
        <is>
          <t>Esfuerzo</t>
        </is>
      </c>
      <c r="B8" s="8" t="n">
        <v>0.6</v>
      </c>
      <c r="C8" s="8" t="n">
        <v>0.75</v>
      </c>
      <c r="D8" s="8" t="n">
        <v>1</v>
      </c>
    </row>
    <row r="9">
      <c r="A9" s="4" t="inlineStr">
        <is>
          <t>Frustración</t>
        </is>
      </c>
      <c r="B9" s="8" t="n">
        <v>0.6</v>
      </c>
      <c r="C9" s="8" t="n">
        <v>0.65</v>
      </c>
      <c r="D9" s="8" t="n">
        <v>0.8</v>
      </c>
    </row>
    <row r="10"/>
    <row r="11"/>
    <row r="12"/>
    <row r="13"/>
    <row r="14"/>
    <row r="15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2026-08-24T16:08:28Z</dcterms:created>
  <dcterms:modified xmlns:dcterms="http://purl.org/dc/terms/" xmlns:xsi="http://www.w3.org/2001/XMLSchema-instance" xsi:type="dcterms:W3CDTF">2026-08-28T09:07:24Z</dcterms:modified>
  <cp:lastModifiedBy>Francisco De Borja Moron Fernandez</cp:lastModifiedBy>
</cp:coreProperties>
</file>