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3_Repetibilida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555555"/>
      <sz val="9"/>
    </font>
    <font>
      <name val="Calibri"/>
      <b val="1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9" fontId="0" fillId="0" borderId="0" pivotButton="0" quotePrefix="1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tabSelected="1" topLeftCell="A30" workbookViewId="0">
      <selection activeCell="B23" sqref="B23"/>
    </sheetView>
  </sheetViews>
  <sheetFormatPr baseColWidth="10" defaultColWidth="8.88671875" defaultRowHeight="14.4"/>
  <cols>
    <col width="39.33203125" customWidth="1" style="5" min="1" max="1"/>
    <col width="18" customWidth="1" style="5" min="2" max="3"/>
    <col width="16" customWidth="1" style="5" min="4" max="4"/>
    <col width="40" customWidth="1" style="5" min="5" max="5"/>
  </cols>
  <sheetData>
    <row r="1" ht="18" customHeight="1" s="5">
      <c r="A1" s="7" t="inlineStr">
        <is>
          <t>Hoja de Registro — M3 Repetibilidad</t>
        </is>
      </c>
    </row>
    <row r="2">
      <c r="A2" s="6" t="inlineStr">
        <is>
          <t>TFG - Teleoperación XR de RoArm M2 | Universidad de Málaga</t>
        </is>
      </c>
    </row>
    <row r="4">
      <c r="A4" s="1" t="inlineStr">
        <is>
          <t>Condición:</t>
        </is>
      </c>
      <c r="B4" t="inlineStr">
        <is>
          <t>C1 — Ethernet sin carga</t>
        </is>
      </c>
    </row>
    <row r="5">
      <c r="A5" s="1" t="inlineStr">
        <is>
          <t>Fecha:</t>
        </is>
      </c>
      <c r="B5" t="inlineStr">
        <is>
          <t>24/08/2026</t>
        </is>
      </c>
    </row>
    <row r="6">
      <c r="A6" s="1" t="inlineStr">
        <is>
          <t>Operador (Quest):</t>
        </is>
      </c>
      <c r="B6" t="inlineStr">
        <is>
          <t>Borja</t>
        </is>
      </c>
    </row>
    <row r="7">
      <c r="A7" s="1" t="inlineStr">
        <is>
          <t>Observador:</t>
        </is>
      </c>
    </row>
    <row r="8">
      <c r="A8" s="1" t="inlineStr">
        <is>
          <t>Diana central usada (nº):</t>
        </is>
      </c>
      <c r="B8" s="9" t="n">
        <v>5</v>
      </c>
    </row>
    <row r="9">
      <c r="A9" s="1" t="inlineStr">
        <is>
          <t>Tiempo de realización (mm:ss):</t>
        </is>
      </c>
      <c r="B9" s="8" t="inlineStr">
        <is>
          <t>5:35.76</t>
        </is>
      </c>
    </row>
    <row r="10">
      <c r="A10" s="1" t="inlineStr">
        <is>
          <t>Recalibraciones durante la sesión (nº):</t>
        </is>
      </c>
      <c r="B10" t="inlineStr">
        <is>
          <t>≥2</t>
        </is>
      </c>
    </row>
    <row r="12" ht="43.2" customHeight="1" s="5">
      <c r="A12" s="2" t="inlineStr">
        <is>
          <t>Nº repetición</t>
        </is>
      </c>
      <c r="B12" s="2" t="inlineStr">
        <is>
          <t>e_x profundidad (mm)</t>
        </is>
      </c>
      <c r="C12" s="2" t="inlineStr">
        <is>
          <t>e_y lateral (mm)</t>
        </is>
      </c>
      <c r="D12" s="2" t="inlineStr">
        <is>
          <t>e_r radial (mm)</t>
        </is>
      </c>
      <c r="E12" s="2" t="inlineStr">
        <is>
          <t>Notas</t>
        </is>
      </c>
    </row>
    <row r="13">
      <c r="A13" s="3" t="n">
        <v>1</v>
      </c>
      <c r="B13" s="4" t="n">
        <v>24</v>
      </c>
      <c r="C13" s="4" t="n">
        <v>14</v>
      </c>
      <c r="D13" s="3">
        <f>IF(AND(B13&lt;&gt;"",C13&lt;&gt;""),SQRT(B13^2+C13^2),"")</f>
        <v/>
      </c>
      <c r="E13" s="4" t="n"/>
    </row>
    <row r="14">
      <c r="A14" s="3" t="n">
        <v>2</v>
      </c>
      <c r="B14" s="4" t="n">
        <v>2</v>
      </c>
      <c r="C14" s="4" t="n">
        <v>6</v>
      </c>
      <c r="D14" s="3">
        <f>IF(AND(B14&lt;&gt;"",C14&lt;&gt;""),SQRT(B14^2+C14^2),"")</f>
        <v/>
      </c>
      <c r="E14" s="4" t="n"/>
    </row>
    <row r="15">
      <c r="A15" s="3" t="n">
        <v>3</v>
      </c>
      <c r="B15" s="4" t="n">
        <v>-5</v>
      </c>
      <c r="C15" s="4" t="n">
        <v>6</v>
      </c>
      <c r="D15" s="3">
        <f>IF(AND(B15&lt;&gt;"",C15&lt;&gt;""),SQRT(B15^2+C15^2),"")</f>
        <v/>
      </c>
      <c r="E15" s="4" t="n"/>
    </row>
    <row r="16">
      <c r="A16" s="3" t="n">
        <v>4</v>
      </c>
      <c r="B16" s="4" t="n">
        <v>27</v>
      </c>
      <c r="C16" s="4" t="n">
        <v>2</v>
      </c>
      <c r="D16" s="3">
        <f>IF(AND(B16&lt;&gt;"",C16&lt;&gt;""),SQRT(B16^2+C16^2),"")</f>
        <v/>
      </c>
      <c r="E16" s="4" t="n"/>
    </row>
    <row r="17">
      <c r="A17" s="3" t="n">
        <v>5</v>
      </c>
      <c r="B17" s="4" t="n">
        <v>16</v>
      </c>
      <c r="C17" s="4" t="n">
        <v>2</v>
      </c>
      <c r="D17" s="3">
        <f>IF(AND(B17&lt;&gt;"",C17&lt;&gt;""),SQRT(B17^2+C17^2),"")</f>
        <v/>
      </c>
      <c r="E17" s="4" t="n"/>
    </row>
    <row r="18">
      <c r="A18" s="3" t="n">
        <v>6</v>
      </c>
      <c r="B18" s="4" t="n">
        <v>18</v>
      </c>
      <c r="C18" s="4" t="n">
        <v>4</v>
      </c>
      <c r="D18" s="3">
        <f>IF(AND(B18&lt;&gt;"",C18&lt;&gt;""),SQRT(B18^2+C18^2),"")</f>
        <v/>
      </c>
      <c r="E18" s="4" t="n"/>
    </row>
    <row r="19">
      <c r="A19" s="3" t="n">
        <v>7</v>
      </c>
      <c r="B19" s="4" t="n">
        <v>13</v>
      </c>
      <c r="C19" s="4" t="n">
        <v>2</v>
      </c>
      <c r="D19" s="3">
        <f>IF(AND(B19&lt;&gt;"",C19&lt;&gt;""),SQRT(B19^2+C19^2),"")</f>
        <v/>
      </c>
      <c r="E19" s="4" t="n"/>
    </row>
    <row r="20">
      <c r="A20" s="3" t="n">
        <v>8</v>
      </c>
      <c r="B20" s="4" t="n">
        <v>40</v>
      </c>
      <c r="C20" s="4" t="n">
        <v>6</v>
      </c>
      <c r="D20" s="3">
        <f>IF(AND(B20&lt;&gt;"",C20&lt;&gt;""),SQRT(B20^2+C20^2),"")</f>
        <v/>
      </c>
      <c r="E20" s="4" t="n"/>
    </row>
    <row r="21">
      <c r="A21" s="3" t="n">
        <v>9</v>
      </c>
      <c r="B21" s="4" t="n">
        <v>5</v>
      </c>
      <c r="C21" s="4" t="n">
        <v>-4</v>
      </c>
      <c r="D21" s="3">
        <f>IF(AND(B21&lt;&gt;"",C21&lt;&gt;""),SQRT(B21^2+C21^2),"")</f>
        <v/>
      </c>
      <c r="E21" s="4" t="n"/>
    </row>
    <row r="22">
      <c r="A22" s="3" t="n">
        <v>10</v>
      </c>
      <c r="B22" s="4" t="n">
        <v>1</v>
      </c>
      <c r="C22" s="4" t="n">
        <v>2</v>
      </c>
      <c r="D22" s="3">
        <f>IF(AND(B22&lt;&gt;"",C22&lt;&gt;""),SQRT(B22^2+C22^2),"")</f>
        <v/>
      </c>
      <c r="E22" s="4" t="n"/>
    </row>
    <row r="24">
      <c r="A24" s="1" t="inlineStr">
        <is>
          <t>Exactitud media (respecto a la diana objetivo)</t>
        </is>
      </c>
    </row>
    <row r="25">
      <c r="A25" t="inlineStr">
        <is>
          <t>Media e_x (mm) — sesgo en profundidad</t>
        </is>
      </c>
      <c r="B25">
        <f>AVERAGE(B13:B22)</f>
        <v/>
      </c>
    </row>
    <row r="26">
      <c r="A26" t="inlineStr">
        <is>
          <t>Media e_y (mm) — sesgo lateral</t>
        </is>
      </c>
      <c r="B26">
        <f>AVERAGE(C13:C22)</f>
        <v/>
      </c>
    </row>
    <row r="28">
      <c r="A28" s="1" t="inlineStr">
        <is>
          <t>Repetibilidad (ISO 9283)</t>
        </is>
      </c>
    </row>
    <row r="29">
      <c r="A29" s="1" t="inlineStr">
        <is>
          <t>Distancia de cada marca al centroide (mm)</t>
        </is>
      </c>
    </row>
    <row r="30">
      <c r="A30" t="inlineStr">
        <is>
          <t>rep. 1</t>
        </is>
      </c>
      <c r="B30">
        <f>IF(AND(B13&lt;&gt;"",C13&lt;&gt;""),SQRT((B13-$B$25)^2+(C13-$B$26)^2),"")</f>
        <v/>
      </c>
    </row>
    <row r="31">
      <c r="A31" t="inlineStr">
        <is>
          <t>rep. 2</t>
        </is>
      </c>
      <c r="B31">
        <f>IF(AND(B14&lt;&gt;"",C14&lt;&gt;""),SQRT((B14-$B$25)^2+(C14-$B$26)^2),"")</f>
        <v/>
      </c>
    </row>
    <row r="32">
      <c r="A32" t="inlineStr">
        <is>
          <t>rep. 3</t>
        </is>
      </c>
      <c r="B32">
        <f>IF(AND(B15&lt;&gt;"",C15&lt;&gt;""),SQRT((B15-$B$25)^2+(C15-$B$26)^2),"")</f>
        <v/>
      </c>
    </row>
    <row r="33">
      <c r="A33" t="inlineStr">
        <is>
          <t>rep. 4</t>
        </is>
      </c>
      <c r="B33">
        <f>IF(AND(B16&lt;&gt;"",C16&lt;&gt;""),SQRT((B16-$B$25)^2+(C16-$B$26)^2),"")</f>
        <v/>
      </c>
    </row>
    <row r="34">
      <c r="A34" t="inlineStr">
        <is>
          <t>rep. 5</t>
        </is>
      </c>
      <c r="B34">
        <f>IF(AND(B17&lt;&gt;"",C17&lt;&gt;""),SQRT((B17-$B$25)^2+(C17-$B$26)^2),"")</f>
        <v/>
      </c>
    </row>
    <row r="35">
      <c r="A35" t="inlineStr">
        <is>
          <t>rep. 6</t>
        </is>
      </c>
      <c r="B35">
        <f>IF(AND(B18&lt;&gt;"",C18&lt;&gt;""),SQRT((B18-$B$25)^2+(C18-$B$26)^2),"")</f>
        <v/>
      </c>
    </row>
    <row r="36">
      <c r="A36" t="inlineStr">
        <is>
          <t>rep. 7</t>
        </is>
      </c>
      <c r="B36">
        <f>IF(AND(B19&lt;&gt;"",C19&lt;&gt;""),SQRT((B19-$B$25)^2+(C19-$B$26)^2),"")</f>
        <v/>
      </c>
    </row>
    <row r="37">
      <c r="A37" t="inlineStr">
        <is>
          <t>rep. 8</t>
        </is>
      </c>
      <c r="B37">
        <f>IF(AND(B20&lt;&gt;"",C20&lt;&gt;""),SQRT((B20-$B$25)^2+(C20-$B$26)^2),"")</f>
        <v/>
      </c>
    </row>
    <row r="38">
      <c r="A38" t="inlineStr">
        <is>
          <t>rep. 9</t>
        </is>
      </c>
      <c r="B38">
        <f>IF(AND(B21&lt;&gt;"",C21&lt;&gt;""),SQRT((B21-$B$25)^2+(C21-$B$26)^2),"")</f>
        <v/>
      </c>
    </row>
    <row r="39">
      <c r="A39" t="inlineStr">
        <is>
          <t>rep. 10</t>
        </is>
      </c>
      <c r="B39">
        <f>IF(AND(B22&lt;&gt;"",C22&lt;&gt;""),SQRT((B22-$B$25)^2+(C22-$B$26)^2),"")</f>
        <v/>
      </c>
    </row>
    <row r="40">
      <c r="A40" t="inlineStr">
        <is>
          <t>Media distancia al centroide, l̄ (mm)</t>
        </is>
      </c>
      <c r="B40">
        <f>AVERAGE(B30:B39)</f>
        <v/>
      </c>
    </row>
    <row r="41">
      <c r="A41" t="inlineStr">
        <is>
          <t>Desv. típica distancias, Sl (mm)</t>
        </is>
      </c>
      <c r="B41">
        <f>STDEV(B30:B39)</f>
        <v/>
      </c>
    </row>
    <row r="42">
      <c r="A42" s="1" t="inlineStr">
        <is>
          <t>Repetibilidad RPl = l̄ + 3·Sl (mm)</t>
        </is>
      </c>
      <c r="B42">
        <f>B40+3*B41</f>
        <v/>
      </c>
    </row>
    <row r="43">
      <c r="A43" t="inlineStr">
        <is>
          <t>Radio ~95% = l̄ + 1,96·Sl (mm)</t>
        </is>
      </c>
      <c r="B43">
        <f>B40+1.96*B41</f>
        <v/>
      </c>
    </row>
    <row r="45">
      <c r="A45" s="1" t="inlineStr">
        <is>
          <t>Comparación con P0.7 (línea base mecánica)</t>
        </is>
      </c>
    </row>
    <row r="46">
      <c r="A46" t="inlineStr">
        <is>
          <t>Repetibilidad_hardware (mm)</t>
        </is>
      </c>
    </row>
    <row r="47">
      <c r="A47" t="inlineStr">
        <is>
          <t>Repetibilidad_operador (mm) = √(RP_total² − RP_hardware²)</t>
        </is>
      </c>
      <c r="B47">
        <f>IF(B46&lt;&gt;"",IF(B42^2&gt;B46^2,SQRT(B42^2-B46^2),"revisar"),"pendiente P0.7")</f>
        <v/>
      </c>
    </row>
  </sheetData>
  <mergeCells count="9">
    <mergeCell ref="B6:C6"/>
    <mergeCell ref="B7:C7"/>
    <mergeCell ref="A2:E2"/>
    <mergeCell ref="B5:C5"/>
    <mergeCell ref="B10:C10"/>
    <mergeCell ref="A1:E1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2026-08-24T15:56:50Z</dcterms:created>
  <dcterms:modified xmlns:dcterms="http://purl.org/dc/terms/" xmlns:xsi="http://www.w3.org/2001/XMLSchema-instance" xsi:type="dcterms:W3CDTF">2026-08-24T23:08:36Z</dcterms:modified>
  <cp:lastModifiedBy>Francisco De Borja Moron Fernandez</cp:lastModifiedBy>
</cp:coreProperties>
</file>